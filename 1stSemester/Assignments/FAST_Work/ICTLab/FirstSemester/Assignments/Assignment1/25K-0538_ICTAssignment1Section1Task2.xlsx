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C5DE2F1-532E-4F27-9F57-DE73F504CFE2}" xr6:coauthVersionLast="47" xr6:coauthVersionMax="47" xr10:uidLastSave="{00000000-0000-0000-0000-000000000000}"/>
  <bookViews>
    <workbookView xWindow="-120" yWindow="-120" windowWidth="21840" windowHeight="13290" tabRatio="866" firstSheet="1" activeTab="13" xr2:uid="{00000000-000D-0000-FFFF-FFFF00000000}"/>
  </bookViews>
  <sheets>
    <sheet name="Performance Data" sheetId="1" r:id="rId1"/>
    <sheet name="January" sheetId="2" r:id="rId2"/>
    <sheet name="Feb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  <sheet name="Annual Performance" sheetId="17" r:id="rId14"/>
    <sheet name="Annual List" sheetId="14" r:id="rId15"/>
  </sheets>
  <definedNames>
    <definedName name="_xlnm._FilterDatabase" localSheetId="14" hidden="1">'Annual List'!$A$1:$D$54</definedName>
    <definedName name="_xlnm._FilterDatabase" localSheetId="1" hidden="1">January!$A$1:$H$11</definedName>
    <definedName name="_xlnm._FilterDatabase" localSheetId="0" hidden="1">'Performance Data'!$A$1:$F$121</definedName>
  </definedNames>
  <calcPr calcId="191029"/>
</workbook>
</file>

<file path=xl/calcChain.xml><?xml version="1.0" encoding="utf-8"?>
<calcChain xmlns="http://schemas.openxmlformats.org/spreadsheetml/2006/main">
  <c r="G2" i="6" l="1"/>
  <c r="H2" i="6"/>
  <c r="G2" i="5"/>
  <c r="H2" i="5"/>
  <c r="G2" i="4"/>
  <c r="H2" i="4"/>
  <c r="G2" i="3"/>
  <c r="H2" i="3"/>
  <c r="G2" i="2"/>
  <c r="H2" i="2"/>
  <c r="AC7" i="17"/>
  <c r="AC6" i="17"/>
  <c r="AC5" i="17"/>
  <c r="AC4" i="17"/>
  <c r="AC3" i="17"/>
  <c r="N4" i="17"/>
  <c r="N7" i="17"/>
  <c r="N6" i="17"/>
  <c r="N5" i="17"/>
  <c r="N3" i="17"/>
  <c r="M6" i="13"/>
  <c r="M5" i="13"/>
  <c r="M4" i="13"/>
  <c r="M3" i="13"/>
  <c r="M2" i="13"/>
  <c r="L6" i="13"/>
  <c r="L5" i="13"/>
  <c r="L4" i="13"/>
  <c r="L3" i="13"/>
  <c r="L2" i="13"/>
  <c r="M5" i="12"/>
  <c r="M4" i="12"/>
  <c r="M3" i="12"/>
  <c r="M2" i="12"/>
  <c r="L5" i="12"/>
  <c r="L4" i="12"/>
  <c r="L3" i="12"/>
  <c r="L2" i="12"/>
  <c r="M5" i="11"/>
  <c r="M4" i="11"/>
  <c r="M3" i="11"/>
  <c r="M2" i="11"/>
  <c r="L5" i="11"/>
  <c r="L4" i="11"/>
  <c r="L3" i="11"/>
  <c r="L2" i="11"/>
  <c r="M6" i="10"/>
  <c r="M5" i="10"/>
  <c r="M4" i="10"/>
  <c r="M3" i="10"/>
  <c r="M2" i="10"/>
  <c r="L6" i="10"/>
  <c r="L5" i="10"/>
  <c r="L4" i="10"/>
  <c r="L3" i="10"/>
  <c r="L2" i="10"/>
  <c r="M4" i="8"/>
  <c r="M3" i="8"/>
  <c r="M2" i="8"/>
  <c r="L4" i="8"/>
  <c r="L3" i="8"/>
  <c r="L2" i="8"/>
  <c r="M5" i="9"/>
  <c r="M4" i="9"/>
  <c r="M3" i="9"/>
  <c r="M2" i="9"/>
  <c r="L5" i="9"/>
  <c r="L4" i="9"/>
  <c r="L3" i="9"/>
  <c r="L2" i="9"/>
  <c r="M5" i="7"/>
  <c r="M4" i="7"/>
  <c r="M3" i="7"/>
  <c r="M2" i="7"/>
  <c r="L5" i="7"/>
  <c r="L4" i="7"/>
  <c r="L3" i="7"/>
  <c r="L2" i="7"/>
  <c r="M5" i="6"/>
  <c r="M4" i="6"/>
  <c r="M3" i="6"/>
  <c r="M2" i="6"/>
  <c r="L5" i="6"/>
  <c r="L4" i="6"/>
  <c r="L3" i="6"/>
  <c r="L2" i="6"/>
  <c r="M6" i="5"/>
  <c r="M5" i="5"/>
  <c r="M4" i="5"/>
  <c r="M3" i="5"/>
  <c r="M2" i="5"/>
  <c r="L6" i="5"/>
  <c r="L5" i="5"/>
  <c r="L4" i="5"/>
  <c r="L3" i="5"/>
  <c r="L2" i="5"/>
  <c r="M6" i="4"/>
  <c r="M5" i="4"/>
  <c r="M4" i="4"/>
  <c r="M3" i="4"/>
  <c r="M2" i="4"/>
  <c r="L6" i="4"/>
  <c r="L5" i="4"/>
  <c r="L4" i="4"/>
  <c r="L2" i="4"/>
  <c r="L3" i="4"/>
  <c r="M6" i="3"/>
  <c r="M5" i="3"/>
  <c r="M4" i="3"/>
  <c r="M3" i="3"/>
  <c r="M2" i="3"/>
  <c r="L6" i="3"/>
  <c r="L5" i="3"/>
  <c r="L4" i="3"/>
  <c r="L3" i="3"/>
  <c r="L2" i="3"/>
  <c r="H26" i="9"/>
  <c r="G2" i="9"/>
  <c r="L3" i="2"/>
  <c r="M6" i="2"/>
  <c r="M5" i="2"/>
  <c r="M4" i="2"/>
  <c r="M3" i="2"/>
  <c r="M2" i="2"/>
  <c r="L6" i="2"/>
  <c r="L5" i="2"/>
  <c r="L4" i="2"/>
  <c r="L2" i="2"/>
  <c r="H2" i="13"/>
  <c r="G2" i="13"/>
  <c r="H2" i="12"/>
  <c r="G2" i="12"/>
  <c r="H2" i="11"/>
  <c r="G2" i="11"/>
  <c r="H2" i="10"/>
  <c r="G2" i="10"/>
  <c r="H2" i="9"/>
  <c r="H2" i="8"/>
  <c r="G2" i="8"/>
  <c r="H2" i="7"/>
  <c r="G2" i="7"/>
</calcChain>
</file>

<file path=xl/sharedStrings.xml><?xml version="1.0" encoding="utf-8"?>
<sst xmlns="http://schemas.openxmlformats.org/spreadsheetml/2006/main" count="1301" uniqueCount="56">
  <si>
    <t>Employee ID</t>
  </si>
  <si>
    <t>Name</t>
  </si>
  <si>
    <t>Department</t>
  </si>
  <si>
    <t>Month</t>
  </si>
  <si>
    <t>Performance Score</t>
  </si>
  <si>
    <t>Bonus Earned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</si>
  <si>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</si>
  <si>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</si>
  <si>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</si>
  <si>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</si>
  <si>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</si>
  <si>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</si>
  <si>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</si>
  <si>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</si>
  <si>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</si>
  <si>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</si>
  <si>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Ali Khan</t>
  </si>
  <si>
    <t>Sara Ahmed</t>
  </si>
  <si>
    <t>Imran Ali</t>
  </si>
  <si>
    <t>Mehak Mazhar</t>
  </si>
  <si>
    <t>Ahmed Raza</t>
  </si>
  <si>
    <t>Hina Tariq</t>
  </si>
  <si>
    <t>Bilal Hussain</t>
  </si>
  <si>
    <t>Sana Qureshi</t>
  </si>
  <si>
    <t>Usman Akhtar</t>
  </si>
  <si>
    <t>Ayesha Noor</t>
  </si>
  <si>
    <t>HR</t>
  </si>
  <si>
    <t>Marketing</t>
  </si>
  <si>
    <t>IT</t>
  </si>
  <si>
    <t>Sales</t>
  </si>
  <si>
    <t>Finance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</si>
  <si>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</si>
  <si>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</si>
  <si>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</si>
  <si>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</si>
  <si>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</si>
  <si>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</si>
  <si>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</si>
  <si>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</si>
  <si>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</si>
  <si>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</si>
  <si>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</si>
  <si>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</si>
  <si>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Performance</t>
  </si>
  <si>
    <t>Total Bonus</t>
  </si>
  <si>
    <t>Total Bonus Earned</t>
  </si>
  <si>
    <t>March</t>
  </si>
  <si>
    <t>April</t>
  </si>
  <si>
    <t>June</t>
  </si>
  <si>
    <t>July</t>
  </si>
  <si>
    <t>August</t>
  </si>
  <si>
    <t>Sept</t>
  </si>
  <si>
    <t>Annual Average Performance By Department</t>
  </si>
  <si>
    <t>Monthly Total Bonus by Department</t>
  </si>
  <si>
    <t>Annual Average</t>
  </si>
  <si>
    <t>Annual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</si>
</sst>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2" applyNumberFormat="0" applyFill="0" applyAlignment="0" applyProtection="0"/>
    <xf numFmtId="0" fontId="2" fillId="0" borderId="3" applyNumberFormat="0" applyFill="0" applyAlignment="0" applyProtection="0"/>
  </cellStyleXfs>
  <cellXfs count="14">
    <xf numFmtId="0" fontId="0" fillId="0" borderId="0" xfId="0"/>
    <xf numFmtId="0" fontId="2" fillId="3" borderId="1" xfId="2" applyFill="1" applyBorder="1" applyAlignment="1">
      <alignment horizontal="center" vertical="center"/>
    </xf>
    <xf numFmtId="0" fontId="2" fillId="3" borderId="1" xfId="2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2" fillId="3" borderId="1" xfId="2" applyFill="1" applyBorder="1"/>
    <xf numFmtId="0" fontId="0" fillId="0" borderId="4" xfId="0" applyBorder="1"/>
    <xf numFmtId="0" fontId="0" fillId="0" borderId="5" xfId="0" applyBorder="1"/>
    <xf numFmtId="2" fontId="0" fillId="0" borderId="1" xfId="0" applyNumberFormat="1" applyBorder="1"/>
    <xf numFmtId="0" fontId="2" fillId="2" borderId="1" xfId="2" applyFill="1" applyBorder="1" applyAlignment="1">
      <alignment horizontal="center" vertical="center"/>
    </xf>
    <xf numFmtId="0" fontId="0" fillId="0" borderId="6" xfId="0" applyBorder="1"/>
    <xf numFmtId="0" fontId="1" fillId="3" borderId="7" xfId="1" applyFill="1" applyBorder="1" applyAlignment="1">
      <alignment horizontal="center"/>
    </xf>
    <xf numFmtId="0" fontId="1" fillId="3" borderId="8" xfId="1" applyFill="1" applyBorder="1" applyAlignment="1">
      <alignment horizontal="center"/>
    </xf>
    <xf numFmtId="0" fontId="1" fillId="3" borderId="1" xfId="1" applyFill="1" applyBorder="1" applyAlignment="1">
      <alignment horizontal="center"/>
    </xf>
  </cellXfs>
  <cellStyles count="3">
    <cellStyle name="Heading 1" xfId="1" builtinId="16"/>
    <cellStyle name="Heading 3" xfId="2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January!$L$1</c:f>
              <c:strCache>
                <c:ptCount val="1"/>
                <c:pt idx="0">
                  <c:v>Average Performance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January!$K$2:$K$6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January!$L$2:$L$6</c:f>
              <c:numCache>
                <c:formatCode>General</c:formatCode>
                <c:ptCount val="5"/>
                <c:pt idx="0">
                  <c:v>85</c:v>
                </c:pt>
                <c:pt idx="1">
                  <c:v>83</c:v>
                </c:pt>
                <c:pt idx="2">
                  <c:v>72.5</c:v>
                </c:pt>
                <c:pt idx="3" formatCode="0.00">
                  <c:v>88.666666666666671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F-4519-8F27-C25C8844063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62476296"/>
        <c:axId val="462474336"/>
      </c:barChart>
      <c:catAx>
        <c:axId val="462476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74336"/>
        <c:crosses val="autoZero"/>
        <c:auto val="1"/>
        <c:lblAlgn val="ctr"/>
        <c:lblOffset val="100"/>
        <c:noMultiLvlLbl val="0"/>
      </c:catAx>
      <c:valAx>
        <c:axId val="46247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76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January!$M$1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F5-4EAB-9C64-5CF5B4D53C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F5-4EAB-9C64-5CF5B4D53C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F5-4EAB-9C64-5CF5B4D53C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FF5-4EAB-9C64-5CF5B4D53C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FF5-4EAB-9C64-5CF5B4D53C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January!$K$2:$K$6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January!$M$2:$M$6</c:f>
              <c:numCache>
                <c:formatCode>General</c:formatCode>
                <c:ptCount val="5"/>
                <c:pt idx="0">
                  <c:v>4250</c:v>
                </c:pt>
                <c:pt idx="1">
                  <c:v>17168</c:v>
                </c:pt>
                <c:pt idx="2">
                  <c:v>10606</c:v>
                </c:pt>
                <c:pt idx="3">
                  <c:v>15463</c:v>
                </c:pt>
                <c:pt idx="4">
                  <c:v>6020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F5-4EAB-9C64-5CF5B4D53CC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Febuary!$K$2:$K$6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Febuary!$L$2:$L$6</c:f>
              <c:numCache>
                <c:formatCode>General</c:formatCode>
                <c:ptCount val="5"/>
                <c:pt idx="0">
                  <c:v>89</c:v>
                </c:pt>
                <c:pt idx="1">
                  <c:v>70.5</c:v>
                </c:pt>
                <c:pt idx="2">
                  <c:v>82</c:v>
                </c:pt>
                <c:pt idx="3">
                  <c:v>81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A-4579-B05E-5F29688C145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4929840"/>
        <c:axId val="614925920"/>
      </c:barChart>
      <c:catAx>
        <c:axId val="61492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25920"/>
        <c:crosses val="autoZero"/>
        <c:auto val="1"/>
        <c:lblAlgn val="ctr"/>
        <c:lblOffset val="100"/>
        <c:noMultiLvlLbl val="0"/>
      </c:catAx>
      <c:valAx>
        <c:axId val="61492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2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Febuary!$M$1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DF-4372-821B-1E62DDB4ED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DF-4372-821B-1E62DDB4ED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DF-4372-821B-1E62DDB4ED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DDF-4372-821B-1E62DDB4ED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DDF-4372-821B-1E62DDB4ED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Febuary!$K$2:$K$6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Febuary!$M$2:$M$6</c:f>
              <c:numCache>
                <c:formatCode>General</c:formatCode>
                <c:ptCount val="5"/>
                <c:pt idx="0">
                  <c:v>12084</c:v>
                </c:pt>
                <c:pt idx="1">
                  <c:v>6833</c:v>
                </c:pt>
                <c:pt idx="2">
                  <c:v>6314</c:v>
                </c:pt>
                <c:pt idx="3">
                  <c:v>19084</c:v>
                </c:pt>
                <c:pt idx="4">
                  <c:v>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DF-4372-821B-1E62DDB4ED5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March!$L$1</c:f>
              <c:strCache>
                <c:ptCount val="1"/>
                <c:pt idx="0">
                  <c:v>Average Performance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March!$K$2:$K$6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March!$L$2:$L$6</c:f>
              <c:numCache>
                <c:formatCode>General</c:formatCode>
                <c:ptCount val="5"/>
                <c:pt idx="0">
                  <c:v>81.5</c:v>
                </c:pt>
                <c:pt idx="1">
                  <c:v>92.333333333333329</c:v>
                </c:pt>
                <c:pt idx="2">
                  <c:v>72</c:v>
                </c:pt>
                <c:pt idx="3">
                  <c:v>77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E-4266-8CEB-6FF6FC10A44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36724944"/>
        <c:axId val="636731216"/>
      </c:barChart>
      <c:catAx>
        <c:axId val="636724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31216"/>
        <c:crosses val="autoZero"/>
        <c:auto val="1"/>
        <c:lblAlgn val="ctr"/>
        <c:lblOffset val="100"/>
        <c:noMultiLvlLbl val="0"/>
      </c:catAx>
      <c:valAx>
        <c:axId val="63673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2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March!$M$1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52-4A74-8D54-5FB2203833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52-4A74-8D54-5FB2203833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C52-4A74-8D54-5FB2203833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C52-4A74-8D54-5FB2203833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C52-4A74-8D54-5FB2203833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March!$K$2:$K$6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March!$M$2:$M$6</c:f>
              <c:numCache>
                <c:formatCode>General</c:formatCode>
                <c:ptCount val="5"/>
                <c:pt idx="0">
                  <c:v>17684</c:v>
                </c:pt>
                <c:pt idx="1">
                  <c:v>17595</c:v>
                </c:pt>
                <c:pt idx="2">
                  <c:v>3456</c:v>
                </c:pt>
                <c:pt idx="3">
                  <c:v>3773</c:v>
                </c:pt>
                <c:pt idx="4">
                  <c:v>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52-4A74-8D54-5FB22038339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April!$L$1</c:f>
              <c:strCache>
                <c:ptCount val="1"/>
                <c:pt idx="0">
                  <c:v>Average Performance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April!$K$2:$K$6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April!$L$2:$L$6</c:f>
              <c:numCache>
                <c:formatCode>General</c:formatCode>
                <c:ptCount val="5"/>
                <c:pt idx="0">
                  <c:v>92</c:v>
                </c:pt>
                <c:pt idx="1">
                  <c:v>92.5</c:v>
                </c:pt>
                <c:pt idx="2">
                  <c:v>84.5</c:v>
                </c:pt>
                <c:pt idx="3">
                  <c:v>82.5</c:v>
                </c:pt>
                <c:pt idx="4">
                  <c:v>78.333333333333329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A-4B9D-AE6F-A707100F0A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61926392"/>
        <c:axId val="461925216"/>
      </c:barChart>
      <c:catAx>
        <c:axId val="461926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25216"/>
        <c:crosses val="autoZero"/>
        <c:auto val="1"/>
        <c:lblAlgn val="ctr"/>
        <c:lblOffset val="100"/>
        <c:noMultiLvlLbl val="0"/>
      </c:catAx>
      <c:valAx>
        <c:axId val="46192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26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April!$M$1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35-4489-931B-C967E49B34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35-4489-931B-C967E49B34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35-4489-931B-C967E49B34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A35-4489-931B-C967E49B34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A35-4489-931B-C967E49B34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April!$K$2:$K$6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April!$M$2:$M$6</c:f>
              <c:numCache>
                <c:formatCode>General</c:formatCode>
                <c:ptCount val="5"/>
                <c:pt idx="0">
                  <c:v>6256</c:v>
                </c:pt>
                <c:pt idx="1">
                  <c:v>11657</c:v>
                </c:pt>
                <c:pt idx="2">
                  <c:v>9698</c:v>
                </c:pt>
                <c:pt idx="3">
                  <c:v>12139</c:v>
                </c:pt>
                <c:pt idx="4">
                  <c:v>13137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35-4489-931B-C967E49B343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May!$L$1</c:f>
              <c:strCache>
                <c:ptCount val="1"/>
                <c:pt idx="0">
                  <c:v>Average Performance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May!$K$2:$K$5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May!$L$2:$L$5</c:f>
              <c:numCache>
                <c:formatCode>General</c:formatCode>
                <c:ptCount val="4"/>
                <c:pt idx="0">
                  <c:v>77</c:v>
                </c:pt>
                <c:pt idx="1">
                  <c:v>88.5</c:v>
                </c:pt>
                <c:pt idx="2">
                  <c:v>81.666666666666671</c:v>
                </c:pt>
                <c:pt idx="3">
                  <c:v>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C-4319-A7C9-9F5B11EA4D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58909856"/>
        <c:axId val="658912600"/>
      </c:barChart>
      <c:catAx>
        <c:axId val="65890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12600"/>
        <c:crosses val="autoZero"/>
        <c:auto val="1"/>
        <c:lblAlgn val="ctr"/>
        <c:lblOffset val="100"/>
        <c:noMultiLvlLbl val="0"/>
      </c:catAx>
      <c:valAx>
        <c:axId val="65891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0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May!$M$1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0A-4E37-97D8-82929B8FE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0A-4E37-97D8-82929B8FE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0A-4E37-97D8-82929B8FE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40A-4E37-97D8-82929B8FE0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May!$K$2:$K$5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May!$M$2:$M$5</c:f>
              <c:numCache>
                <c:formatCode>General</c:formatCode>
                <c:ptCount val="4"/>
                <c:pt idx="0">
                  <c:v>3927</c:v>
                </c:pt>
                <c:pt idx="1">
                  <c:v>13423</c:v>
                </c:pt>
                <c:pt idx="2">
                  <c:v>15620</c:v>
                </c:pt>
                <c:pt idx="3">
                  <c:v>24727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0A-4E37-97D8-82929B8FE0B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June!$K$2:$K$5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June!$L$2:$L$5</c:f>
              <c:numCache>
                <c:formatCode>General</c:formatCode>
                <c:ptCount val="4"/>
                <c:pt idx="0">
                  <c:v>83</c:v>
                </c:pt>
                <c:pt idx="1">
                  <c:v>89</c:v>
                </c:pt>
                <c:pt idx="2">
                  <c:v>84</c:v>
                </c:pt>
                <c:pt idx="3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0-4DC2-A69B-1D5DDFFDF44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58903584"/>
        <c:axId val="658904368"/>
      </c:barChart>
      <c:catAx>
        <c:axId val="65890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04368"/>
        <c:crosses val="autoZero"/>
        <c:auto val="1"/>
        <c:lblAlgn val="ctr"/>
        <c:lblOffset val="100"/>
        <c:noMultiLvlLbl val="0"/>
      </c:catAx>
      <c:valAx>
        <c:axId val="65890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0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June!$M$1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22-44E4-930B-DE6F1E7568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22-44E4-930B-DE6F1E7568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22-44E4-930B-DE6F1E7568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722-44E4-930B-DE6F1E7568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June!$K$2:$K$5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June!$M$2:$M$5</c:f>
              <c:numCache>
                <c:formatCode>General</c:formatCode>
                <c:ptCount val="4"/>
                <c:pt idx="0">
                  <c:v>6142</c:v>
                </c:pt>
                <c:pt idx="1">
                  <c:v>20434</c:v>
                </c:pt>
                <c:pt idx="2">
                  <c:v>15740</c:v>
                </c:pt>
                <c:pt idx="3">
                  <c:v>8933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22-44E4-930B-DE6F1E75686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July!$L$1</c:f>
              <c:strCache>
                <c:ptCount val="1"/>
                <c:pt idx="0">
                  <c:v>Average Performance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July!$K$2:$K$4</c:f>
              <c:strCache>
                <c:ptCount val="3"/>
                <c:pt idx="0">
                  <c:v>IT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July!$L$2:$L$4</c:f>
              <c:numCache>
                <c:formatCode>General</c:formatCode>
                <c:ptCount val="3"/>
                <c:pt idx="0">
                  <c:v>84.333333333333329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5-45C9-91FC-250A15D078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4930232"/>
        <c:axId val="614930624"/>
      </c:barChart>
      <c:catAx>
        <c:axId val="614930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30624"/>
        <c:crosses val="autoZero"/>
        <c:auto val="1"/>
        <c:lblAlgn val="ctr"/>
        <c:lblOffset val="100"/>
        <c:noMultiLvlLbl val="0"/>
      </c:catAx>
      <c:valAx>
        <c:axId val="61493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30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July!$M$1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AF-4A9E-97E5-410D19EFF9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AF-4A9E-97E5-410D19EFF9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AF-4A9E-97E5-410D19EFF9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July!$K$2:$K$4</c:f>
              <c:strCache>
                <c:ptCount val="3"/>
                <c:pt idx="0">
                  <c:v>IT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July!$M$2:$M$4</c:f>
              <c:numCache>
                <c:formatCode>General</c:formatCode>
                <c:ptCount val="3"/>
                <c:pt idx="0">
                  <c:v>15972</c:v>
                </c:pt>
                <c:pt idx="1">
                  <c:v>21271</c:v>
                </c:pt>
                <c:pt idx="2">
                  <c:v>16935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AF-4A9E-97E5-410D19EFF94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August!$L$1</c:f>
              <c:strCache>
                <c:ptCount val="1"/>
                <c:pt idx="0">
                  <c:v>Average Performance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August!$K$2:$K$5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August!$L$2:$L$5</c:f>
              <c:numCache>
                <c:formatCode>General</c:formatCode>
                <c:ptCount val="4"/>
                <c:pt idx="0">
                  <c:v>84.5</c:v>
                </c:pt>
                <c:pt idx="1">
                  <c:v>80</c:v>
                </c:pt>
                <c:pt idx="2">
                  <c:v>83</c:v>
                </c:pt>
                <c:pt idx="3">
                  <c:v>91.5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0-4276-85B2-8317D6A0FF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58921224"/>
        <c:axId val="658922008"/>
      </c:barChart>
      <c:catAx>
        <c:axId val="658921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22008"/>
        <c:crosses val="autoZero"/>
        <c:auto val="1"/>
        <c:lblAlgn val="ctr"/>
        <c:lblOffset val="100"/>
        <c:noMultiLvlLbl val="0"/>
      </c:catAx>
      <c:valAx>
        <c:axId val="65892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21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August!$M$1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58-4EB5-957B-D3D1078052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58-4EB5-957B-D3D1078052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58-4EB5-957B-D3D1078052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58-4EB5-957B-D3D1078052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August!$K$2:$K$5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August!$M$2:$M$5</c:f>
              <c:numCache>
                <c:formatCode>General</c:formatCode>
                <c:ptCount val="4"/>
                <c:pt idx="0">
                  <c:v>11384</c:v>
                </c:pt>
                <c:pt idx="1">
                  <c:v>19431</c:v>
                </c:pt>
                <c:pt idx="2">
                  <c:v>12360</c:v>
                </c:pt>
                <c:pt idx="3">
                  <c:v>9468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58-4EB5-957B-D3D10780520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September!$L$1</c:f>
              <c:strCache>
                <c:ptCount val="1"/>
                <c:pt idx="0">
                  <c:v>Average Performance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September!$K$2:$K$6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September!$L$2:$L$6</c:f>
              <c:numCache>
                <c:formatCode>General</c:formatCode>
                <c:ptCount val="5"/>
                <c:pt idx="0">
                  <c:v>86</c:v>
                </c:pt>
                <c:pt idx="1">
                  <c:v>84</c:v>
                </c:pt>
                <c:pt idx="2">
                  <c:v>75</c:v>
                </c:pt>
                <c:pt idx="3">
                  <c:v>82.75</c:v>
                </c:pt>
                <c:pt idx="4">
                  <c:v>82.666666666666671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6-4442-9C98-F74495F146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58931024"/>
        <c:axId val="658929848"/>
      </c:barChart>
      <c:catAx>
        <c:axId val="65893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29848"/>
        <c:crosses val="autoZero"/>
        <c:auto val="1"/>
        <c:lblAlgn val="ctr"/>
        <c:lblOffset val="100"/>
        <c:noMultiLvlLbl val="0"/>
      </c:catAx>
      <c:valAx>
        <c:axId val="658929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3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September!$M$1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F1-47D4-97CA-4BD1798413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F1-47D4-97CA-4BD1798413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F1-47D4-97CA-4BD1798413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F1-47D4-97CA-4BD1798413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8F1-47D4-97CA-4BD1798413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September!$K$2:$K$6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September!$M$2:$M$6</c:f>
              <c:numCache>
                <c:formatCode>General</c:formatCode>
                <c:ptCount val="5"/>
                <c:pt idx="0">
                  <c:v>5332</c:v>
                </c:pt>
                <c:pt idx="1">
                  <c:v>4956</c:v>
                </c:pt>
                <c:pt idx="2">
                  <c:v>6000</c:v>
                </c:pt>
                <c:pt idx="3">
                  <c:v>19963</c:v>
                </c:pt>
                <c:pt idx="4">
                  <c:v>17248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F1-47D4-97CA-4BD17984131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October!$L$1</c:f>
              <c:strCache>
                <c:ptCount val="1"/>
                <c:pt idx="0">
                  <c:v>Average Performance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October!$K$2:$K$5</c:f>
              <c:strCache>
                <c:ptCount val="4"/>
                <c:pt idx="0">
                  <c:v>Finance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October!$L$2:$L$5</c:f>
              <c:numCache>
                <c:formatCode>General</c:formatCode>
                <c:ptCount val="4"/>
                <c:pt idx="0">
                  <c:v>84.6</c:v>
                </c:pt>
                <c:pt idx="1">
                  <c:v>81</c:v>
                </c:pt>
                <c:pt idx="2">
                  <c:v>83</c:v>
                </c:pt>
                <c:pt idx="3">
                  <c:v>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4-4E9B-A00F-10242884DF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61914240"/>
        <c:axId val="461917768"/>
      </c:barChart>
      <c:catAx>
        <c:axId val="46191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17768"/>
        <c:crosses val="autoZero"/>
        <c:auto val="1"/>
        <c:lblAlgn val="ctr"/>
        <c:lblOffset val="100"/>
        <c:noMultiLvlLbl val="0"/>
      </c:catAx>
      <c:valAx>
        <c:axId val="46191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1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October!$M$1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FD-4DF3-BCE5-5F60BD767C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FD-4DF3-BCE5-5F60BD767C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0FD-4DF3-BCE5-5F60BD767C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0FD-4DF3-BCE5-5F60BD767C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October!$K$2:$K$5</c:f>
              <c:strCache>
                <c:ptCount val="4"/>
                <c:pt idx="0">
                  <c:v>Finance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October!$M$2:$M$5</c:f>
              <c:numCache>
                <c:formatCode>General</c:formatCode>
                <c:ptCount val="4"/>
                <c:pt idx="0">
                  <c:v>23290</c:v>
                </c:pt>
                <c:pt idx="1">
                  <c:v>3483</c:v>
                </c:pt>
                <c:pt idx="2">
                  <c:v>10658</c:v>
                </c:pt>
                <c:pt idx="3">
                  <c:v>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FD-4DF3-BCE5-5F60BD767C1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November!$L$1</c:f>
              <c:strCache>
                <c:ptCount val="1"/>
                <c:pt idx="0">
                  <c:v>Average Performance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November!$K$2:$K$5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November!$L$2:$L$5</c:f>
              <c:numCache>
                <c:formatCode>General</c:formatCode>
                <c:ptCount val="4"/>
                <c:pt idx="0">
                  <c:v>85</c:v>
                </c:pt>
                <c:pt idx="1">
                  <c:v>91.5</c:v>
                </c:pt>
                <c:pt idx="2">
                  <c:v>81</c:v>
                </c:pt>
                <c:pt idx="3">
                  <c:v>91.666666666666671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B-46FC-BC1E-FB3F64DDF7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4926704"/>
        <c:axId val="614927488"/>
      </c:barChart>
      <c:catAx>
        <c:axId val="61492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27488"/>
        <c:crosses val="autoZero"/>
        <c:auto val="1"/>
        <c:lblAlgn val="ctr"/>
        <c:lblOffset val="100"/>
        <c:noMultiLvlLbl val="0"/>
      </c:catAx>
      <c:valAx>
        <c:axId val="61492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2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November!$M$1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75-46C0-BE30-AF5D81EBA7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75-46C0-BE30-AF5D81EBA7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75-46C0-BE30-AF5D81EBA7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A75-46C0-BE30-AF5D81EBA7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November!$K$2:$K$5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November!$M$2:$M$5</c:f>
              <c:numCache>
                <c:formatCode>General</c:formatCode>
                <c:ptCount val="4"/>
                <c:pt idx="0">
                  <c:v>15849</c:v>
                </c:pt>
                <c:pt idx="1">
                  <c:v>10536</c:v>
                </c:pt>
                <c:pt idx="2">
                  <c:v>9107</c:v>
                </c:pt>
                <c:pt idx="3">
                  <c:v>13948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75-46C0-BE30-AF5D81EBA74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December!$K$2:$K$6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December!$L$2:$L$6</c:f>
              <c:numCache>
                <c:formatCode>General</c:formatCode>
                <c:ptCount val="5"/>
                <c:pt idx="0">
                  <c:v>73</c:v>
                </c:pt>
                <c:pt idx="1">
                  <c:v>73</c:v>
                </c:pt>
                <c:pt idx="2">
                  <c:v>79</c:v>
                </c:pt>
                <c:pt idx="3">
                  <c:v>92.5</c:v>
                </c:pt>
                <c:pt idx="4">
                  <c:v>76.5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8-4991-A12E-F659CCB120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34301864"/>
        <c:axId val="634305784"/>
      </c:barChart>
      <c:catAx>
        <c:axId val="634301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05784"/>
        <c:crosses val="autoZero"/>
        <c:auto val="1"/>
        <c:lblAlgn val="ctr"/>
        <c:lblOffset val="100"/>
        <c:noMultiLvlLbl val="0"/>
      </c:catAx>
      <c:valAx>
        <c:axId val="634305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01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December!$M$1</c:f>
              <c:strCache>
                <c:ptCount val="1"/>
                <c:pt idx="0">
                  <c:v>Total Bonus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59-45E1-99B5-1A12E71F98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59-45E1-99B5-1A12E71F98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59-45E1-99B5-1A12E71F98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59-45E1-99B5-1A12E71F98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659-45E1-99B5-1A12E71F98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December!$K$2:$K$6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December!$M$2:$M$6</c:f>
              <c:numCache>
                <c:formatCode>General</c:formatCode>
                <c:ptCount val="5"/>
                <c:pt idx="0">
                  <c:v>9609</c:v>
                </c:pt>
                <c:pt idx="1">
                  <c:v>3285</c:v>
                </c:pt>
                <c:pt idx="2">
                  <c:v>14424</c:v>
                </c:pt>
                <c:pt idx="3">
                  <c:v>9992</c:v>
                </c:pt>
                <c:pt idx="4">
                  <c:v>9327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659-45E1-99B5-1A12E71F98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 Average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Performance'!$A$3</c:f>
              <c:strCache>
                <c:ptCount val="1"/>
                <c:pt idx="0">
                  <c:v>Finance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'Annual Performance'!$B$1:$M$2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'Annual Performance'!$B$3:$M$3</c:f>
              <c:numCache>
                <c:formatCode>General</c:formatCode>
                <c:ptCount val="12"/>
                <c:pt idx="0">
                  <c:v>85</c:v>
                </c:pt>
                <c:pt idx="1">
                  <c:v>89</c:v>
                </c:pt>
                <c:pt idx="2">
                  <c:v>81.5</c:v>
                </c:pt>
                <c:pt idx="3">
                  <c:v>92</c:v>
                </c:pt>
                <c:pt idx="8">
                  <c:v>86</c:v>
                </c:pt>
                <c:pt idx="9">
                  <c:v>84.6</c:v>
                </c:pt>
                <c:pt idx="10">
                  <c:v>85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EA-4EC0-93FB-73F7129C5289}"/>
            </c:ext>
          </c:extLst>
        </c:ser>
        <c:ser>
          <c:idx val="1"/>
          <c:order val="1"/>
          <c:tx>
            <c:strRef>
              <c:f>'Annual Performance'!$A$4</c:f>
              <c:strCache>
                <c:ptCount val="1"/>
                <c:pt idx="0">
                  <c:v>HR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'Annual Performance'!$B$1:$M$2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'Annual Performance'!$B$4:$M$4</c:f>
              <c:numCache>
                <c:formatCode>General</c:formatCode>
                <c:ptCount val="12"/>
                <c:pt idx="0">
                  <c:v>83</c:v>
                </c:pt>
                <c:pt idx="1">
                  <c:v>70.5</c:v>
                </c:pt>
                <c:pt idx="2">
                  <c:v>92.33</c:v>
                </c:pt>
                <c:pt idx="3">
                  <c:v>92.5</c:v>
                </c:pt>
                <c:pt idx="4">
                  <c:v>77</c:v>
                </c:pt>
                <c:pt idx="5">
                  <c:v>83</c:v>
                </c:pt>
                <c:pt idx="7">
                  <c:v>84.5</c:v>
                </c:pt>
                <c:pt idx="8">
                  <c:v>84</c:v>
                </c:pt>
                <c:pt idx="10">
                  <c:v>91.5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EA-4EC0-93FB-73F7129C5289}"/>
            </c:ext>
          </c:extLst>
        </c:ser>
        <c:ser>
          <c:idx val="2"/>
          <c:order val="2"/>
          <c:tx>
            <c:strRef>
              <c:f>'Annual Performance'!$A$5</c:f>
              <c:strCache>
                <c:ptCount val="1"/>
                <c:pt idx="0">
                  <c:v>IT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'Annual Performance'!$B$1:$M$2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'Annual Performance'!$B$5:$M$5</c:f>
              <c:numCache>
                <c:formatCode>General</c:formatCode>
                <c:ptCount val="12"/>
                <c:pt idx="0">
                  <c:v>72.5</c:v>
                </c:pt>
                <c:pt idx="1">
                  <c:v>82</c:v>
                </c:pt>
                <c:pt idx="2">
                  <c:v>72</c:v>
                </c:pt>
                <c:pt idx="3">
                  <c:v>84.5</c:v>
                </c:pt>
                <c:pt idx="4">
                  <c:v>88.5</c:v>
                </c:pt>
                <c:pt idx="5">
                  <c:v>89</c:v>
                </c:pt>
                <c:pt idx="6">
                  <c:v>84.33</c:v>
                </c:pt>
                <c:pt idx="7">
                  <c:v>80</c:v>
                </c:pt>
                <c:pt idx="8">
                  <c:v>75</c:v>
                </c:pt>
                <c:pt idx="9">
                  <c:v>81</c:v>
                </c:pt>
                <c:pt idx="11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EA-4EC0-93FB-73F7129C5289}"/>
            </c:ext>
          </c:extLst>
        </c:ser>
        <c:ser>
          <c:idx val="3"/>
          <c:order val="3"/>
          <c:tx>
            <c:strRef>
              <c:f>'Annual Performance'!$A$6</c:f>
              <c:strCache>
                <c:ptCount val="1"/>
                <c:pt idx="0">
                  <c:v>Marketing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'Annual Performance'!$B$1:$M$2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'Annual Performance'!$B$6:$M$6</c:f>
              <c:numCache>
                <c:formatCode>General</c:formatCode>
                <c:ptCount val="12"/>
                <c:pt idx="0">
                  <c:v>88.67</c:v>
                </c:pt>
                <c:pt idx="1">
                  <c:v>81</c:v>
                </c:pt>
                <c:pt idx="2">
                  <c:v>77</c:v>
                </c:pt>
                <c:pt idx="3">
                  <c:v>82.5</c:v>
                </c:pt>
                <c:pt idx="4">
                  <c:v>81.66</c:v>
                </c:pt>
                <c:pt idx="5">
                  <c:v>84</c:v>
                </c:pt>
                <c:pt idx="6">
                  <c:v>88</c:v>
                </c:pt>
                <c:pt idx="7">
                  <c:v>83</c:v>
                </c:pt>
                <c:pt idx="8">
                  <c:v>82.75</c:v>
                </c:pt>
                <c:pt idx="9">
                  <c:v>83</c:v>
                </c:pt>
                <c:pt idx="10">
                  <c:v>81</c:v>
                </c:pt>
                <c:pt idx="11">
                  <c:v>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EA-4EC0-93FB-73F7129C5289}"/>
            </c:ext>
          </c:extLst>
        </c:ser>
        <c:ser>
          <c:idx val="4"/>
          <c:order val="4"/>
          <c:tx>
            <c:strRef>
              <c:f>'Annual Performance'!$A$7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'Annual Performance'!$B$1:$M$2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'Annual Performance'!$B$7:$M$7</c:f>
              <c:numCache>
                <c:formatCode>General</c:formatCode>
                <c:ptCount val="12"/>
                <c:pt idx="0">
                  <c:v>86</c:v>
                </c:pt>
                <c:pt idx="1">
                  <c:v>88</c:v>
                </c:pt>
                <c:pt idx="2">
                  <c:v>98</c:v>
                </c:pt>
                <c:pt idx="3">
                  <c:v>78.33</c:v>
                </c:pt>
                <c:pt idx="4">
                  <c:v>88.5</c:v>
                </c:pt>
                <c:pt idx="5">
                  <c:v>92</c:v>
                </c:pt>
                <c:pt idx="6">
                  <c:v>83</c:v>
                </c:pt>
                <c:pt idx="7">
                  <c:v>91.5</c:v>
                </c:pt>
                <c:pt idx="8">
                  <c:v>82.66</c:v>
                </c:pt>
                <c:pt idx="9">
                  <c:v>79.5</c:v>
                </c:pt>
                <c:pt idx="10">
                  <c:v>91.66</c:v>
                </c:pt>
                <c:pt idx="11">
                  <c:v>76.5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EA-4EC0-93FB-73F7129C5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248216"/>
        <c:axId val="653249000"/>
      </c:lineChart>
      <c:catAx>
        <c:axId val="653248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49000"/>
        <c:crosses val="autoZero"/>
        <c:auto val="1"/>
        <c:lblAlgn val="ctr"/>
        <c:lblOffset val="100"/>
        <c:noMultiLvlLbl val="0"/>
      </c:catAx>
      <c:valAx>
        <c:axId val="65324900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482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Yearly</a:t>
            </a:r>
          </a:p>
          <a:p>
            <a:pPr>
              <a:defRPr/>
            </a:pPr>
            <a:r>
              <a:rPr lang="en-US"/>
              <a:t>Average Performance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'Annual Performance'!$A$3:$A$7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Performance'!$N$3:$N$7</c:f>
              <c:numCache>
                <c:formatCode>0.00</c:formatCode>
                <c:ptCount val="5"/>
                <c:pt idx="0">
                  <c:v>84.512500000000003</c:v>
                </c:pt>
                <c:pt idx="1">
                  <c:v>83.132999999999996</c:v>
                </c:pt>
                <c:pt idx="2">
                  <c:v>80.711818181818188</c:v>
                </c:pt>
                <c:pt idx="3">
                  <c:v>83.756666666666675</c:v>
                </c:pt>
                <c:pt idx="4">
                  <c:v>86.30416666666666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6-4FA7-BC38-49A5C26D7E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701081704"/>
        <c:axId val="701082488"/>
      </c:barChart>
      <c:catAx>
        <c:axId val="701081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82488"/>
        <c:crosses val="autoZero"/>
        <c:auto val="1"/>
        <c:lblAlgn val="ctr"/>
        <c:lblOffset val="100"/>
        <c:noMultiLvlLbl val="0"/>
      </c:catAx>
      <c:valAx>
        <c:axId val="70108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81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Bonus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B3-41D3-A937-C16CF7051E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B3-41D3-A937-C16CF7051E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CB3-41D3-A937-C16CF7051E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CB3-41D3-A937-C16CF7051E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CB3-41D3-A937-C16CF7051E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'Annual Performance'!$P$3:$P$7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'Annual Performance'!$AC$3:$AC$7</c:f>
              <c:numCache>
                <c:formatCode>General</c:formatCode>
                <c:ptCount val="5"/>
                <c:pt idx="0">
                  <c:v>94351</c:v>
                </c:pt>
                <c:pt idx="1">
                  <c:v>93483</c:v>
                </c:pt>
                <c:pt idx="2">
                  <c:v>123241</c:v>
                </c:pt>
                <c:pt idx="3">
                  <c:v>165170</c:v>
                </c:pt>
                <c:pt idx="4">
                  <c:v>140077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B3-41D3-A937-C16CF7051E2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754380</xdr:colOff>
      <xdr:row>12</xdr:row>
      <xdr:rowOff>7620</xdr:rowOff>
    </xdr:from>
    <xdr:to>
      <xdr:col>7</xdr:col>
      <xdr:colOff>723900</xdr:colOff>
      <xdr:row>27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12</xdr:row>
      <xdr:rowOff>0</xdr:rowOff>
    </xdr:from>
    <xdr:to>
      <xdr:col>15</xdr:col>
      <xdr:colOff>68580</xdr:colOff>
      <xdr:row>27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754380</xdr:colOff>
      <xdr:row>11</xdr:row>
      <xdr:rowOff>175260</xdr:rowOff>
    </xdr:from>
    <xdr:to>
      <xdr:col>7</xdr:col>
      <xdr:colOff>723900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11</xdr:row>
      <xdr:rowOff>175260</xdr:rowOff>
    </xdr:from>
    <xdr:to>
      <xdr:col>15</xdr:col>
      <xdr:colOff>53340</xdr:colOff>
      <xdr:row>26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12</xdr:row>
      <xdr:rowOff>7620</xdr:rowOff>
    </xdr:from>
    <xdr:to>
      <xdr:col>7</xdr:col>
      <xdr:colOff>739140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12</xdr:row>
      <xdr:rowOff>0</xdr:rowOff>
    </xdr:from>
    <xdr:to>
      <xdr:col>15</xdr:col>
      <xdr:colOff>68580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7</xdr:col>
      <xdr:colOff>731520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15</xdr:col>
      <xdr:colOff>60960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7</xdr:col>
      <xdr:colOff>731520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15</xdr:col>
      <xdr:colOff>60960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12</xdr:row>
      <xdr:rowOff>0</xdr:rowOff>
    </xdr:from>
    <xdr:to>
      <xdr:col>7</xdr:col>
      <xdr:colOff>739140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12</xdr:row>
      <xdr:rowOff>0</xdr:rowOff>
    </xdr:from>
    <xdr:to>
      <xdr:col>15</xdr:col>
      <xdr:colOff>53340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754380</xdr:colOff>
      <xdr:row>12</xdr:row>
      <xdr:rowOff>0</xdr:rowOff>
    </xdr:from>
    <xdr:to>
      <xdr:col>7</xdr:col>
      <xdr:colOff>723900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11</xdr:row>
      <xdr:rowOff>175260</xdr:rowOff>
    </xdr:from>
    <xdr:to>
      <xdr:col>15</xdr:col>
      <xdr:colOff>68580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175260</xdr:rowOff>
    </xdr:from>
    <xdr:to>
      <xdr:col>7</xdr:col>
      <xdr:colOff>731520</xdr:colOff>
      <xdr:row>26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12</xdr:row>
      <xdr:rowOff>0</xdr:rowOff>
    </xdr:from>
    <xdr:to>
      <xdr:col>15</xdr:col>
      <xdr:colOff>53340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175260</xdr:rowOff>
    </xdr:from>
    <xdr:to>
      <xdr:col>7</xdr:col>
      <xdr:colOff>731520</xdr:colOff>
      <xdr:row>26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175260</xdr:rowOff>
    </xdr:from>
    <xdr:to>
      <xdr:col>15</xdr:col>
      <xdr:colOff>60960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7620</xdr:rowOff>
    </xdr:from>
    <xdr:to>
      <xdr:col>7</xdr:col>
      <xdr:colOff>731520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12</xdr:row>
      <xdr:rowOff>0</xdr:rowOff>
    </xdr:from>
    <xdr:to>
      <xdr:col>15</xdr:col>
      <xdr:colOff>68580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12</xdr:row>
      <xdr:rowOff>0</xdr:rowOff>
    </xdr:from>
    <xdr:to>
      <xdr:col>7</xdr:col>
      <xdr:colOff>739140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175260</xdr:rowOff>
    </xdr:from>
    <xdr:to>
      <xdr:col>15</xdr:col>
      <xdr:colOff>60960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175260</xdr:rowOff>
    </xdr:from>
    <xdr:to>
      <xdr:col>7</xdr:col>
      <xdr:colOff>731520</xdr:colOff>
      <xdr:row>26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11</xdr:row>
      <xdr:rowOff>175260</xdr:rowOff>
    </xdr:from>
    <xdr:to>
      <xdr:col>15</xdr:col>
      <xdr:colOff>68580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10</xdr:col>
      <xdr:colOff>160020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8</xdr:row>
      <xdr:rowOff>0</xdr:rowOff>
    </xdr:from>
    <xdr:to>
      <xdr:col>19</xdr:col>
      <xdr:colOff>190500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7620</xdr:colOff>
      <xdr:row>8</xdr:row>
      <xdr:rowOff>0</xdr:rowOff>
    </xdr:from>
    <xdr:to>
      <xdr:col>29</xdr:col>
      <xdr:colOff>358140</xdr:colOff>
      <xdr:row>23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opLeftCell="B1" workbookViewId="0">
      <selection activeCell="J20" sqref="J19:J20"/>
    </sheetView>
  </sheetViews>
  <sheetFormatPr defaultRowHeight="15" x14ac:dyDescent="0.25"/>
  <cols>
    <col min="1" max="1" width="16" bestFit="1" customWidth="1"/>
    <col min="2" max="2" width="13.28515625" bestFit="1" customWidth="1"/>
    <col min="3" max="3" width="15.5703125" bestFit="1" customWidth="1"/>
    <col min="4" max="4" width="11.28515625" bestFit="1" customWidth="1"/>
    <col min="5" max="5" width="21.7109375" bestFit="1" customWidth="1"/>
    <col min="6" max="6" width="17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3" t="s">
        <v>16</v>
      </c>
      <c r="C2" s="3" t="s">
        <v>26</v>
      </c>
      <c r="D2" s="3" t="s">
        <v>31</v>
      </c>
      <c r="E2" s="3">
        <v>83</v>
      </c>
      <c r="F2" s="3">
        <v>5644</v>
      </c>
    </row>
    <row r="3" spans="1:6" x14ac:dyDescent="0.25">
      <c r="A3" s="4" t="s">
        <v>7</v>
      </c>
      <c r="B3" s="3" t="s">
        <v>17</v>
      </c>
      <c r="C3" s="3" t="s">
        <v>27</v>
      </c>
      <c r="D3" s="3" t="s">
        <v>31</v>
      </c>
      <c r="E3" s="3">
        <v>91</v>
      </c>
      <c r="F3" s="3">
        <v>3913</v>
      </c>
    </row>
    <row r="4" spans="1:6" x14ac:dyDescent="0.25">
      <c r="A4" s="4" t="s">
        <v>8</v>
      </c>
      <c r="B4" s="3" t="s">
        <v>18</v>
      </c>
      <c r="C4" s="3" t="s">
        <v>28</v>
      </c>
      <c r="D4" s="3" t="s">
        <v>31</v>
      </c>
      <c r="E4" s="3">
        <v>74</v>
      </c>
      <c r="F4" s="3">
        <v>5920</v>
      </c>
    </row>
    <row r="5" spans="1:6" x14ac:dyDescent="0.25">
      <c r="A5" s="4" t="s">
        <v>9</v>
      </c>
      <c r="B5" s="3" t="s">
        <v>19</v>
      </c>
      <c r="C5" s="3" t="s">
        <v>29</v>
      </c>
      <c r="D5" s="3" t="s">
        <v>31</v>
      </c>
      <c r="E5" s="3">
        <v>86</v>
      </c>
      <c r="F5" s="3">
        <v>6020</v>
      </c>
    </row>
    <row r="6" spans="1:6" x14ac:dyDescent="0.25">
      <c r="A6" s="4" t="s">
        <v>10</v>
      </c>
      <c r="B6" s="3" t="s">
        <v>20</v>
      </c>
      <c r="C6" s="3" t="s">
        <v>30</v>
      </c>
      <c r="D6" s="3" t="s">
        <v>31</v>
      </c>
      <c r="E6" s="3">
        <v>85</v>
      </c>
      <c r="F6" s="3">
        <v>4250</v>
      </c>
    </row>
    <row r="7" spans="1:6" x14ac:dyDescent="0.25">
      <c r="A7" s="4" t="s">
        <v>11</v>
      </c>
      <c r="B7" s="3" t="s">
        <v>21</v>
      </c>
      <c r="C7" s="3" t="s">
        <v>28</v>
      </c>
      <c r="D7" s="3" t="s">
        <v>31</v>
      </c>
      <c r="E7" s="3">
        <v>71</v>
      </c>
      <c r="F7" s="3">
        <v>4686</v>
      </c>
    </row>
    <row r="8" spans="1:6" x14ac:dyDescent="0.25">
      <c r="A8" s="4" t="s">
        <v>12</v>
      </c>
      <c r="B8" s="3" t="s">
        <v>22</v>
      </c>
      <c r="C8" s="3" t="s">
        <v>26</v>
      </c>
      <c r="D8" s="3" t="s">
        <v>31</v>
      </c>
      <c r="E8" s="3">
        <v>78</v>
      </c>
      <c r="F8" s="3">
        <v>4836</v>
      </c>
    </row>
    <row r="9" spans="1:6" x14ac:dyDescent="0.25">
      <c r="A9" s="4" t="s">
        <v>13</v>
      </c>
      <c r="B9" s="3" t="s">
        <v>23</v>
      </c>
      <c r="C9" s="3" t="s">
        <v>27</v>
      </c>
      <c r="D9" s="3" t="s">
        <v>31</v>
      </c>
      <c r="E9" s="3">
        <v>77</v>
      </c>
      <c r="F9" s="3">
        <v>5082</v>
      </c>
    </row>
    <row r="10" spans="1:6" x14ac:dyDescent="0.25">
      <c r="A10" s="4" t="s">
        <v>14</v>
      </c>
      <c r="B10" s="3" t="s">
        <v>24</v>
      </c>
      <c r="C10" s="3" t="s">
        <v>27</v>
      </c>
      <c r="D10" s="3" t="s">
        <v>31</v>
      </c>
      <c r="E10" s="3">
        <v>98</v>
      </c>
      <c r="F10" s="3">
        <v>6468</v>
      </c>
    </row>
    <row r="11" spans="1:6" x14ac:dyDescent="0.25">
      <c r="A11" s="4" t="s">
        <v>15</v>
      </c>
      <c r="B11" s="3" t="s">
        <v>25</v>
      </c>
      <c r="C11" s="3" t="s">
        <v>26</v>
      </c>
      <c r="D11" s="3" t="s">
        <v>31</v>
      </c>
      <c r="E11" s="3">
        <v>88</v>
      </c>
      <c r="F11" s="3">
        <v>6688</v>
      </c>
    </row>
    <row r="12" spans="1:6" x14ac:dyDescent="0.25">
      <c r="A12" s="3" t="s">
        <v>6</v>
      </c>
      <c r="B12" s="3" t="s">
        <v>16</v>
      </c>
      <c r="C12" s="3" t="s">
        <v>27</v>
      </c>
      <c r="D12" s="3" t="s">
        <v>32</v>
      </c>
      <c r="E12" s="3">
        <v>82</v>
      </c>
      <c r="F12" s="3">
        <v>5248</v>
      </c>
    </row>
    <row r="13" spans="1:6" x14ac:dyDescent="0.25">
      <c r="A13" s="3" t="s">
        <v>7</v>
      </c>
      <c r="B13" s="3" t="s">
        <v>17</v>
      </c>
      <c r="C13" s="3" t="s">
        <v>27</v>
      </c>
      <c r="D13" s="3" t="s">
        <v>32</v>
      </c>
      <c r="E13" s="3">
        <v>71</v>
      </c>
      <c r="F13" s="3">
        <v>2911</v>
      </c>
    </row>
    <row r="14" spans="1:6" x14ac:dyDescent="0.25">
      <c r="A14" s="3" t="s">
        <v>8</v>
      </c>
      <c r="B14" s="3" t="s">
        <v>18</v>
      </c>
      <c r="C14" s="3" t="s">
        <v>30</v>
      </c>
      <c r="D14" s="3" t="s">
        <v>32</v>
      </c>
      <c r="E14" s="3">
        <v>98</v>
      </c>
      <c r="F14" s="3">
        <v>5684</v>
      </c>
    </row>
    <row r="15" spans="1:6" x14ac:dyDescent="0.25">
      <c r="A15" s="3" t="s">
        <v>9</v>
      </c>
      <c r="B15" s="3" t="s">
        <v>19</v>
      </c>
      <c r="C15" s="3" t="s">
        <v>27</v>
      </c>
      <c r="D15" s="3" t="s">
        <v>32</v>
      </c>
      <c r="E15" s="3">
        <v>76</v>
      </c>
      <c r="F15" s="3">
        <v>3420</v>
      </c>
    </row>
    <row r="16" spans="1:6" x14ac:dyDescent="0.25">
      <c r="A16" s="3" t="s">
        <v>10</v>
      </c>
      <c r="B16" s="3" t="s">
        <v>20</v>
      </c>
      <c r="C16" s="3" t="s">
        <v>28</v>
      </c>
      <c r="D16" s="3" t="s">
        <v>32</v>
      </c>
      <c r="E16" s="3">
        <v>82</v>
      </c>
      <c r="F16" s="3">
        <v>6314</v>
      </c>
    </row>
    <row r="17" spans="1:6" x14ac:dyDescent="0.25">
      <c r="A17" s="3" t="s">
        <v>11</v>
      </c>
      <c r="B17" s="3" t="s">
        <v>21</v>
      </c>
      <c r="C17" s="3" t="s">
        <v>29</v>
      </c>
      <c r="D17" s="3" t="s">
        <v>32</v>
      </c>
      <c r="E17" s="3">
        <v>88</v>
      </c>
      <c r="F17" s="3">
        <v>5104</v>
      </c>
    </row>
    <row r="18" spans="1:6" x14ac:dyDescent="0.25">
      <c r="A18" s="3" t="s">
        <v>12</v>
      </c>
      <c r="B18" s="3" t="s">
        <v>22</v>
      </c>
      <c r="C18" s="3" t="s">
        <v>30</v>
      </c>
      <c r="D18" s="3" t="s">
        <v>32</v>
      </c>
      <c r="E18" s="3">
        <v>80</v>
      </c>
      <c r="F18" s="3">
        <v>6400</v>
      </c>
    </row>
    <row r="19" spans="1:6" x14ac:dyDescent="0.25">
      <c r="A19" s="3" t="s">
        <v>13</v>
      </c>
      <c r="B19" s="3" t="s">
        <v>23</v>
      </c>
      <c r="C19" s="3" t="s">
        <v>27</v>
      </c>
      <c r="D19" s="3" t="s">
        <v>32</v>
      </c>
      <c r="E19" s="3">
        <v>95</v>
      </c>
      <c r="F19" s="3">
        <v>7505</v>
      </c>
    </row>
    <row r="20" spans="1:6" x14ac:dyDescent="0.25">
      <c r="A20" s="3" t="s">
        <v>14</v>
      </c>
      <c r="B20" s="3" t="s">
        <v>24</v>
      </c>
      <c r="C20" s="3" t="s">
        <v>26</v>
      </c>
      <c r="D20" s="3" t="s">
        <v>32</v>
      </c>
      <c r="E20" s="3">
        <v>70</v>
      </c>
      <c r="F20" s="3">
        <v>3780</v>
      </c>
    </row>
    <row r="21" spans="1:6" x14ac:dyDescent="0.25">
      <c r="A21" s="3" t="s">
        <v>15</v>
      </c>
      <c r="B21" s="3" t="s">
        <v>25</v>
      </c>
      <c r="C21" s="3" t="s">
        <v>26</v>
      </c>
      <c r="D21" s="3" t="s">
        <v>32</v>
      </c>
      <c r="E21" s="3">
        <v>71</v>
      </c>
      <c r="F21" s="3">
        <v>3053</v>
      </c>
    </row>
    <row r="22" spans="1:6" x14ac:dyDescent="0.25">
      <c r="A22" s="3" t="s">
        <v>6</v>
      </c>
      <c r="B22" s="3" t="s">
        <v>16</v>
      </c>
      <c r="C22" s="3" t="s">
        <v>27</v>
      </c>
      <c r="D22" s="3" t="s">
        <v>33</v>
      </c>
      <c r="E22" s="3">
        <v>77</v>
      </c>
      <c r="F22" s="3">
        <v>3773</v>
      </c>
    </row>
    <row r="23" spans="1:6" x14ac:dyDescent="0.25">
      <c r="A23" s="3" t="s">
        <v>7</v>
      </c>
      <c r="B23" s="3" t="s">
        <v>17</v>
      </c>
      <c r="C23" s="3" t="s">
        <v>30</v>
      </c>
      <c r="D23" s="3" t="s">
        <v>33</v>
      </c>
      <c r="E23" s="3">
        <v>70</v>
      </c>
      <c r="F23" s="3">
        <v>2800</v>
      </c>
    </row>
    <row r="24" spans="1:6" x14ac:dyDescent="0.25">
      <c r="A24" s="3" t="s">
        <v>8</v>
      </c>
      <c r="B24" s="3" t="s">
        <v>18</v>
      </c>
      <c r="C24" s="3" t="s">
        <v>28</v>
      </c>
      <c r="D24" s="3" t="s">
        <v>33</v>
      </c>
      <c r="E24" s="3">
        <v>72</v>
      </c>
      <c r="F24" s="3">
        <v>3456</v>
      </c>
    </row>
    <row r="25" spans="1:6" x14ac:dyDescent="0.25">
      <c r="A25" s="3" t="s">
        <v>9</v>
      </c>
      <c r="B25" s="3" t="s">
        <v>19</v>
      </c>
      <c r="C25" s="3" t="s">
        <v>30</v>
      </c>
      <c r="D25" s="3" t="s">
        <v>33</v>
      </c>
      <c r="E25" s="3">
        <v>76</v>
      </c>
      <c r="F25" s="3">
        <v>5168</v>
      </c>
    </row>
    <row r="26" spans="1:6" x14ac:dyDescent="0.25">
      <c r="A26" s="3" t="s">
        <v>10</v>
      </c>
      <c r="B26" s="3" t="s">
        <v>20</v>
      </c>
      <c r="C26" s="3" t="s">
        <v>26</v>
      </c>
      <c r="D26" s="3" t="s">
        <v>33</v>
      </c>
      <c r="E26" s="3">
        <v>98</v>
      </c>
      <c r="F26" s="3">
        <v>5292</v>
      </c>
    </row>
    <row r="27" spans="1:6" x14ac:dyDescent="0.25">
      <c r="A27" s="3" t="s">
        <v>11</v>
      </c>
      <c r="B27" s="3" t="s">
        <v>21</v>
      </c>
      <c r="C27" s="3" t="s">
        <v>30</v>
      </c>
      <c r="D27" s="3" t="s">
        <v>33</v>
      </c>
      <c r="E27" s="3">
        <v>82</v>
      </c>
      <c r="F27" s="3">
        <v>3444</v>
      </c>
    </row>
    <row r="28" spans="1:6" x14ac:dyDescent="0.25">
      <c r="A28" s="3" t="s">
        <v>12</v>
      </c>
      <c r="B28" s="3" t="s">
        <v>22</v>
      </c>
      <c r="C28" s="3" t="s">
        <v>26</v>
      </c>
      <c r="D28" s="3" t="s">
        <v>33</v>
      </c>
      <c r="E28" s="3">
        <v>100</v>
      </c>
      <c r="F28" s="3">
        <v>7800</v>
      </c>
    </row>
    <row r="29" spans="1:6" x14ac:dyDescent="0.25">
      <c r="A29" s="3" t="s">
        <v>13</v>
      </c>
      <c r="B29" s="3" t="s">
        <v>23</v>
      </c>
      <c r="C29" s="3" t="s">
        <v>30</v>
      </c>
      <c r="D29" s="3" t="s">
        <v>33</v>
      </c>
      <c r="E29" s="3">
        <v>98</v>
      </c>
      <c r="F29" s="3">
        <v>6272</v>
      </c>
    </row>
    <row r="30" spans="1:6" x14ac:dyDescent="0.25">
      <c r="A30" s="3" t="s">
        <v>14</v>
      </c>
      <c r="B30" s="3" t="s">
        <v>24</v>
      </c>
      <c r="C30" s="3" t="s">
        <v>29</v>
      </c>
      <c r="D30" s="3" t="s">
        <v>33</v>
      </c>
      <c r="E30" s="3">
        <v>98</v>
      </c>
      <c r="F30" s="3">
        <v>6664</v>
      </c>
    </row>
    <row r="31" spans="1:6" x14ac:dyDescent="0.25">
      <c r="A31" s="3" t="s">
        <v>15</v>
      </c>
      <c r="B31" s="3" t="s">
        <v>25</v>
      </c>
      <c r="C31" s="3" t="s">
        <v>26</v>
      </c>
      <c r="D31" s="3" t="s">
        <v>33</v>
      </c>
      <c r="E31" s="3">
        <v>79</v>
      </c>
      <c r="F31" s="3">
        <v>4503</v>
      </c>
    </row>
    <row r="32" spans="1:6" x14ac:dyDescent="0.25">
      <c r="A32" s="3" t="s">
        <v>6</v>
      </c>
      <c r="B32" s="3" t="s">
        <v>16</v>
      </c>
      <c r="C32" s="3" t="s">
        <v>27</v>
      </c>
      <c r="D32" s="3" t="s">
        <v>34</v>
      </c>
      <c r="E32" s="3">
        <v>94</v>
      </c>
      <c r="F32" s="3">
        <v>6956</v>
      </c>
    </row>
    <row r="33" spans="1:6" x14ac:dyDescent="0.25">
      <c r="A33" s="3" t="s">
        <v>7</v>
      </c>
      <c r="B33" s="3" t="s">
        <v>17</v>
      </c>
      <c r="C33" s="3" t="s">
        <v>28</v>
      </c>
      <c r="D33" s="3" t="s">
        <v>34</v>
      </c>
      <c r="E33" s="3">
        <v>78</v>
      </c>
      <c r="F33" s="3">
        <v>4056</v>
      </c>
    </row>
    <row r="34" spans="1:6" x14ac:dyDescent="0.25">
      <c r="A34" s="3" t="s">
        <v>8</v>
      </c>
      <c r="B34" s="3" t="s">
        <v>18</v>
      </c>
      <c r="C34" s="3" t="s">
        <v>29</v>
      </c>
      <c r="D34" s="3" t="s">
        <v>34</v>
      </c>
      <c r="E34" s="3">
        <v>78</v>
      </c>
      <c r="F34" s="3">
        <v>5850</v>
      </c>
    </row>
    <row r="35" spans="1:6" x14ac:dyDescent="0.25">
      <c r="A35" s="3" t="s">
        <v>9</v>
      </c>
      <c r="B35" s="3" t="s">
        <v>19</v>
      </c>
      <c r="C35" s="3" t="s">
        <v>27</v>
      </c>
      <c r="D35" s="3" t="s">
        <v>34</v>
      </c>
      <c r="E35" s="3">
        <v>71</v>
      </c>
      <c r="F35" s="3">
        <v>5183</v>
      </c>
    </row>
    <row r="36" spans="1:6" x14ac:dyDescent="0.25">
      <c r="A36" s="3" t="s">
        <v>10</v>
      </c>
      <c r="B36" s="3" t="s">
        <v>20</v>
      </c>
      <c r="C36" s="3" t="s">
        <v>29</v>
      </c>
      <c r="D36" s="3" t="s">
        <v>34</v>
      </c>
      <c r="E36" s="3">
        <v>77</v>
      </c>
      <c r="F36" s="3">
        <v>3927</v>
      </c>
    </row>
    <row r="37" spans="1:6" x14ac:dyDescent="0.25">
      <c r="A37" s="3" t="s">
        <v>11</v>
      </c>
      <c r="B37" s="3" t="s">
        <v>21</v>
      </c>
      <c r="C37" s="3" t="s">
        <v>28</v>
      </c>
      <c r="D37" s="3" t="s">
        <v>34</v>
      </c>
      <c r="E37" s="3">
        <v>91</v>
      </c>
      <c r="F37" s="3">
        <v>5642</v>
      </c>
    </row>
    <row r="38" spans="1:6" x14ac:dyDescent="0.25">
      <c r="A38" s="3" t="s">
        <v>12</v>
      </c>
      <c r="B38" s="3" t="s">
        <v>22</v>
      </c>
      <c r="C38" s="3" t="s">
        <v>26</v>
      </c>
      <c r="D38" s="3" t="s">
        <v>34</v>
      </c>
      <c r="E38" s="3">
        <v>89</v>
      </c>
      <c r="F38" s="3">
        <v>4361</v>
      </c>
    </row>
    <row r="39" spans="1:6" x14ac:dyDescent="0.25">
      <c r="A39" s="3" t="s">
        <v>13</v>
      </c>
      <c r="B39" s="3" t="s">
        <v>23</v>
      </c>
      <c r="C39" s="3" t="s">
        <v>26</v>
      </c>
      <c r="D39" s="3" t="s">
        <v>34</v>
      </c>
      <c r="E39" s="3">
        <v>96</v>
      </c>
      <c r="F39" s="3">
        <v>7296</v>
      </c>
    </row>
    <row r="40" spans="1:6" x14ac:dyDescent="0.25">
      <c r="A40" s="3" t="s">
        <v>14</v>
      </c>
      <c r="B40" s="3" t="s">
        <v>24</v>
      </c>
      <c r="C40" s="3" t="s">
        <v>29</v>
      </c>
      <c r="D40" s="3" t="s">
        <v>34</v>
      </c>
      <c r="E40" s="3">
        <v>80</v>
      </c>
      <c r="F40" s="3">
        <v>3360</v>
      </c>
    </row>
    <row r="41" spans="1:6" x14ac:dyDescent="0.25">
      <c r="A41" s="3" t="s">
        <v>15</v>
      </c>
      <c r="B41" s="3" t="s">
        <v>25</v>
      </c>
      <c r="C41" s="3" t="s">
        <v>30</v>
      </c>
      <c r="D41" s="3" t="s">
        <v>34</v>
      </c>
      <c r="E41" s="3">
        <v>92</v>
      </c>
      <c r="F41" s="3">
        <v>6256</v>
      </c>
    </row>
    <row r="42" spans="1:6" x14ac:dyDescent="0.25">
      <c r="A42" s="3" t="s">
        <v>6</v>
      </c>
      <c r="B42" s="3" t="s">
        <v>16</v>
      </c>
      <c r="C42" s="3" t="s">
        <v>29</v>
      </c>
      <c r="D42" s="3" t="s">
        <v>35</v>
      </c>
      <c r="E42" s="3">
        <v>97</v>
      </c>
      <c r="F42" s="3">
        <v>7663</v>
      </c>
    </row>
    <row r="43" spans="1:6" x14ac:dyDescent="0.25">
      <c r="A43" s="3" t="s">
        <v>7</v>
      </c>
      <c r="B43" s="3" t="s">
        <v>17</v>
      </c>
      <c r="C43" s="3" t="s">
        <v>26</v>
      </c>
      <c r="D43" s="3" t="s">
        <v>35</v>
      </c>
      <c r="E43" s="3">
        <v>77</v>
      </c>
      <c r="F43" s="3">
        <v>3927</v>
      </c>
    </row>
    <row r="44" spans="1:6" x14ac:dyDescent="0.25">
      <c r="A44" s="3" t="s">
        <v>8</v>
      </c>
      <c r="B44" s="3" t="s">
        <v>18</v>
      </c>
      <c r="C44" s="3" t="s">
        <v>27</v>
      </c>
      <c r="D44" s="3" t="s">
        <v>35</v>
      </c>
      <c r="E44" s="3">
        <v>79</v>
      </c>
      <c r="F44" s="3">
        <v>6241</v>
      </c>
    </row>
    <row r="45" spans="1:6" x14ac:dyDescent="0.25">
      <c r="A45" s="3" t="s">
        <v>9</v>
      </c>
      <c r="B45" s="3" t="s">
        <v>19</v>
      </c>
      <c r="C45" s="3" t="s">
        <v>27</v>
      </c>
      <c r="D45" s="3" t="s">
        <v>35</v>
      </c>
      <c r="E45" s="3">
        <v>83</v>
      </c>
      <c r="F45" s="3">
        <v>5395</v>
      </c>
    </row>
    <row r="46" spans="1:6" x14ac:dyDescent="0.25">
      <c r="A46" s="3" t="s">
        <v>10</v>
      </c>
      <c r="B46" s="3" t="s">
        <v>20</v>
      </c>
      <c r="C46" s="3" t="s">
        <v>28</v>
      </c>
      <c r="D46" s="3" t="s">
        <v>35</v>
      </c>
      <c r="E46" s="3">
        <v>97</v>
      </c>
      <c r="F46" s="3">
        <v>7663</v>
      </c>
    </row>
    <row r="47" spans="1:6" x14ac:dyDescent="0.25">
      <c r="A47" s="3" t="s">
        <v>11</v>
      </c>
      <c r="B47" s="3" t="s">
        <v>21</v>
      </c>
      <c r="C47" s="3" t="s">
        <v>28</v>
      </c>
      <c r="D47" s="3" t="s">
        <v>35</v>
      </c>
      <c r="E47" s="3">
        <v>80</v>
      </c>
      <c r="F47" s="3">
        <v>5760</v>
      </c>
    </row>
    <row r="48" spans="1:6" x14ac:dyDescent="0.25">
      <c r="A48" s="3" t="s">
        <v>12</v>
      </c>
      <c r="B48" s="3" t="s">
        <v>22</v>
      </c>
      <c r="C48" s="3" t="s">
        <v>29</v>
      </c>
      <c r="D48" s="3" t="s">
        <v>35</v>
      </c>
      <c r="E48" s="3">
        <v>90</v>
      </c>
      <c r="F48" s="3">
        <v>6300</v>
      </c>
    </row>
    <row r="49" spans="1:6" x14ac:dyDescent="0.25">
      <c r="A49" s="3" t="s">
        <v>13</v>
      </c>
      <c r="B49" s="3" t="s">
        <v>23</v>
      </c>
      <c r="C49" s="3" t="s">
        <v>27</v>
      </c>
      <c r="D49" s="3" t="s">
        <v>35</v>
      </c>
      <c r="E49" s="3">
        <v>83</v>
      </c>
      <c r="F49" s="3">
        <v>3984</v>
      </c>
    </row>
    <row r="50" spans="1:6" x14ac:dyDescent="0.25">
      <c r="A50" s="3" t="s">
        <v>14</v>
      </c>
      <c r="B50" s="3" t="s">
        <v>24</v>
      </c>
      <c r="C50" s="3" t="s">
        <v>29</v>
      </c>
      <c r="D50" s="3" t="s">
        <v>35</v>
      </c>
      <c r="E50" s="3">
        <v>84</v>
      </c>
      <c r="F50" s="3">
        <v>4788</v>
      </c>
    </row>
    <row r="51" spans="1:6" x14ac:dyDescent="0.25">
      <c r="A51" s="3" t="s">
        <v>15</v>
      </c>
      <c r="B51" s="3" t="s">
        <v>25</v>
      </c>
      <c r="C51" s="3" t="s">
        <v>29</v>
      </c>
      <c r="D51" s="3" t="s">
        <v>35</v>
      </c>
      <c r="E51" s="3">
        <v>83</v>
      </c>
      <c r="F51" s="3">
        <v>5976</v>
      </c>
    </row>
    <row r="52" spans="1:6" x14ac:dyDescent="0.25">
      <c r="A52" s="3" t="s">
        <v>6</v>
      </c>
      <c r="B52" s="3" t="s">
        <v>16</v>
      </c>
      <c r="C52" s="3" t="s">
        <v>27</v>
      </c>
      <c r="D52" s="3" t="s">
        <v>36</v>
      </c>
      <c r="E52" s="3">
        <v>90</v>
      </c>
      <c r="F52" s="3">
        <v>5760</v>
      </c>
    </row>
    <row r="53" spans="1:6" x14ac:dyDescent="0.25">
      <c r="A53" s="3" t="s">
        <v>7</v>
      </c>
      <c r="B53" s="3" t="s">
        <v>17</v>
      </c>
      <c r="C53" s="3" t="s">
        <v>28</v>
      </c>
      <c r="D53" s="3" t="s">
        <v>36</v>
      </c>
      <c r="E53" s="3">
        <v>75</v>
      </c>
      <c r="F53" s="3">
        <v>3450</v>
      </c>
    </row>
    <row r="54" spans="1:6" x14ac:dyDescent="0.25">
      <c r="A54" s="3" t="s">
        <v>8</v>
      </c>
      <c r="B54" s="3" t="s">
        <v>18</v>
      </c>
      <c r="C54" s="3" t="s">
        <v>29</v>
      </c>
      <c r="D54" s="3" t="s">
        <v>36</v>
      </c>
      <c r="E54" s="3">
        <v>91</v>
      </c>
      <c r="F54" s="3">
        <v>4004</v>
      </c>
    </row>
    <row r="55" spans="1:6" x14ac:dyDescent="0.25">
      <c r="A55" s="3" t="s">
        <v>9</v>
      </c>
      <c r="B55" s="3" t="s">
        <v>19</v>
      </c>
      <c r="C55" s="3" t="s">
        <v>27</v>
      </c>
      <c r="D55" s="3" t="s">
        <v>36</v>
      </c>
      <c r="E55" s="3">
        <v>77</v>
      </c>
      <c r="F55" s="3">
        <v>5390</v>
      </c>
    </row>
    <row r="56" spans="1:6" x14ac:dyDescent="0.25">
      <c r="A56" s="3" t="s">
        <v>10</v>
      </c>
      <c r="B56" s="3" t="s">
        <v>20</v>
      </c>
      <c r="C56" s="3" t="s">
        <v>26</v>
      </c>
      <c r="D56" s="3" t="s">
        <v>36</v>
      </c>
      <c r="E56" s="3">
        <v>83</v>
      </c>
      <c r="F56" s="3">
        <v>6142</v>
      </c>
    </row>
    <row r="57" spans="1:6" x14ac:dyDescent="0.25">
      <c r="A57" s="3" t="s">
        <v>11</v>
      </c>
      <c r="B57" s="3" t="s">
        <v>21</v>
      </c>
      <c r="C57" s="3" t="s">
        <v>28</v>
      </c>
      <c r="D57" s="3" t="s">
        <v>36</v>
      </c>
      <c r="E57" s="3">
        <v>85</v>
      </c>
      <c r="F57" s="3">
        <v>3400</v>
      </c>
    </row>
    <row r="58" spans="1:6" x14ac:dyDescent="0.25">
      <c r="A58" s="3" t="s">
        <v>12</v>
      </c>
      <c r="B58" s="3" t="s">
        <v>22</v>
      </c>
      <c r="C58" s="3" t="s">
        <v>27</v>
      </c>
      <c r="D58" s="3" t="s">
        <v>36</v>
      </c>
      <c r="E58" s="3">
        <v>85</v>
      </c>
      <c r="F58" s="3">
        <v>4590</v>
      </c>
    </row>
    <row r="59" spans="1:6" x14ac:dyDescent="0.25">
      <c r="A59" s="3" t="s">
        <v>13</v>
      </c>
      <c r="B59" s="3" t="s">
        <v>23</v>
      </c>
      <c r="C59" s="3" t="s">
        <v>28</v>
      </c>
      <c r="D59" s="3" t="s">
        <v>36</v>
      </c>
      <c r="E59" s="3">
        <v>100</v>
      </c>
      <c r="F59" s="3">
        <v>6000</v>
      </c>
    </row>
    <row r="60" spans="1:6" x14ac:dyDescent="0.25">
      <c r="A60" s="3" t="s">
        <v>14</v>
      </c>
      <c r="B60" s="3" t="s">
        <v>24</v>
      </c>
      <c r="C60" s="3" t="s">
        <v>29</v>
      </c>
      <c r="D60" s="3" t="s">
        <v>36</v>
      </c>
      <c r="E60" s="3">
        <v>93</v>
      </c>
      <c r="F60" s="3">
        <v>4929</v>
      </c>
    </row>
    <row r="61" spans="1:6" x14ac:dyDescent="0.25">
      <c r="A61" s="3" t="s">
        <v>15</v>
      </c>
      <c r="B61" s="3" t="s">
        <v>25</v>
      </c>
      <c r="C61" s="3" t="s">
        <v>28</v>
      </c>
      <c r="D61" s="3" t="s">
        <v>36</v>
      </c>
      <c r="E61" s="3">
        <v>96</v>
      </c>
      <c r="F61" s="3">
        <v>7584</v>
      </c>
    </row>
    <row r="62" spans="1:6" x14ac:dyDescent="0.25">
      <c r="A62" s="3" t="s">
        <v>6</v>
      </c>
      <c r="B62" s="3" t="s">
        <v>16</v>
      </c>
      <c r="C62" s="3" t="s">
        <v>27</v>
      </c>
      <c r="D62" s="3" t="s">
        <v>37</v>
      </c>
      <c r="E62" s="3">
        <v>93</v>
      </c>
      <c r="F62" s="3">
        <v>4650</v>
      </c>
    </row>
    <row r="63" spans="1:6" x14ac:dyDescent="0.25">
      <c r="A63" s="3" t="s">
        <v>7</v>
      </c>
      <c r="B63" s="3" t="s">
        <v>17</v>
      </c>
      <c r="C63" s="3" t="s">
        <v>27</v>
      </c>
      <c r="D63" s="3" t="s">
        <v>37</v>
      </c>
      <c r="E63" s="3">
        <v>84</v>
      </c>
      <c r="F63" s="3">
        <v>5376</v>
      </c>
    </row>
    <row r="64" spans="1:6" x14ac:dyDescent="0.25">
      <c r="A64" s="3" t="s">
        <v>8</v>
      </c>
      <c r="B64" s="3" t="s">
        <v>18</v>
      </c>
      <c r="C64" s="3" t="s">
        <v>27</v>
      </c>
      <c r="D64" s="3" t="s">
        <v>37</v>
      </c>
      <c r="E64" s="3">
        <v>95</v>
      </c>
      <c r="F64" s="3">
        <v>6365</v>
      </c>
    </row>
    <row r="65" spans="1:6" x14ac:dyDescent="0.25">
      <c r="A65" s="3" t="s">
        <v>9</v>
      </c>
      <c r="B65" s="3" t="s">
        <v>19</v>
      </c>
      <c r="C65" s="3" t="s">
        <v>27</v>
      </c>
      <c r="D65" s="3" t="s">
        <v>37</v>
      </c>
      <c r="E65" s="3">
        <v>80</v>
      </c>
      <c r="F65" s="3">
        <v>4880</v>
      </c>
    </row>
    <row r="66" spans="1:6" x14ac:dyDescent="0.25">
      <c r="A66" s="3" t="s">
        <v>10</v>
      </c>
      <c r="B66" s="3" t="s">
        <v>20</v>
      </c>
      <c r="C66" s="3" t="s">
        <v>28</v>
      </c>
      <c r="D66" s="3" t="s">
        <v>37</v>
      </c>
      <c r="E66" s="3">
        <v>91</v>
      </c>
      <c r="F66" s="3">
        <v>7280</v>
      </c>
    </row>
    <row r="67" spans="1:6" x14ac:dyDescent="0.25">
      <c r="A67" s="3" t="s">
        <v>11</v>
      </c>
      <c r="B67" s="3" t="s">
        <v>21</v>
      </c>
      <c r="C67" s="3" t="s">
        <v>29</v>
      </c>
      <c r="D67" s="3" t="s">
        <v>37</v>
      </c>
      <c r="E67" s="3">
        <v>79</v>
      </c>
      <c r="F67" s="3">
        <v>5925</v>
      </c>
    </row>
    <row r="68" spans="1:6" x14ac:dyDescent="0.25">
      <c r="A68" s="3" t="s">
        <v>12</v>
      </c>
      <c r="B68" s="3" t="s">
        <v>22</v>
      </c>
      <c r="C68" s="3" t="s">
        <v>28</v>
      </c>
      <c r="D68" s="3" t="s">
        <v>37</v>
      </c>
      <c r="E68" s="3">
        <v>79</v>
      </c>
      <c r="F68" s="3">
        <v>5372</v>
      </c>
    </row>
    <row r="69" spans="1:6" x14ac:dyDescent="0.25">
      <c r="A69" s="3" t="s">
        <v>13</v>
      </c>
      <c r="B69" s="3" t="s">
        <v>23</v>
      </c>
      <c r="C69" s="3" t="s">
        <v>28</v>
      </c>
      <c r="D69" s="3" t="s">
        <v>37</v>
      </c>
      <c r="E69" s="3">
        <v>83</v>
      </c>
      <c r="F69" s="3">
        <v>3320</v>
      </c>
    </row>
    <row r="70" spans="1:6" x14ac:dyDescent="0.25">
      <c r="A70" s="3" t="s">
        <v>14</v>
      </c>
      <c r="B70" s="3" t="s">
        <v>24</v>
      </c>
      <c r="C70" s="3" t="s">
        <v>29</v>
      </c>
      <c r="D70" s="3" t="s">
        <v>37</v>
      </c>
      <c r="E70" s="3">
        <v>76</v>
      </c>
      <c r="F70" s="3">
        <v>4712</v>
      </c>
    </row>
    <row r="71" spans="1:6" x14ac:dyDescent="0.25">
      <c r="A71" s="3" t="s">
        <v>15</v>
      </c>
      <c r="B71" s="3" t="s">
        <v>25</v>
      </c>
      <c r="C71" s="3" t="s">
        <v>29</v>
      </c>
      <c r="D71" s="3" t="s">
        <v>37</v>
      </c>
      <c r="E71" s="3">
        <v>94</v>
      </c>
      <c r="F71" s="3">
        <v>6298</v>
      </c>
    </row>
    <row r="72" spans="1:6" x14ac:dyDescent="0.25">
      <c r="A72" s="3" t="s">
        <v>6</v>
      </c>
      <c r="B72" s="3" t="s">
        <v>16</v>
      </c>
      <c r="C72" s="3" t="s">
        <v>27</v>
      </c>
      <c r="D72" s="3" t="s">
        <v>38</v>
      </c>
      <c r="E72" s="3">
        <v>74</v>
      </c>
      <c r="F72" s="3">
        <v>5920</v>
      </c>
    </row>
    <row r="73" spans="1:6" x14ac:dyDescent="0.25">
      <c r="A73" s="3" t="s">
        <v>7</v>
      </c>
      <c r="B73" s="3" t="s">
        <v>17</v>
      </c>
      <c r="C73" s="3" t="s">
        <v>26</v>
      </c>
      <c r="D73" s="3" t="s">
        <v>38</v>
      </c>
      <c r="E73" s="3">
        <v>98</v>
      </c>
      <c r="F73" s="3">
        <v>6272</v>
      </c>
    </row>
    <row r="74" spans="1:6" x14ac:dyDescent="0.25">
      <c r="A74" s="3" t="s">
        <v>8</v>
      </c>
      <c r="B74" s="3" t="s">
        <v>18</v>
      </c>
      <c r="C74" s="3" t="s">
        <v>26</v>
      </c>
      <c r="D74" s="3" t="s">
        <v>38</v>
      </c>
      <c r="E74" s="3">
        <v>71</v>
      </c>
      <c r="F74" s="3">
        <v>5112</v>
      </c>
    </row>
    <row r="75" spans="1:6" x14ac:dyDescent="0.25">
      <c r="A75" s="3" t="s">
        <v>9</v>
      </c>
      <c r="B75" s="3" t="s">
        <v>19</v>
      </c>
      <c r="C75" s="3" t="s">
        <v>29</v>
      </c>
      <c r="D75" s="3" t="s">
        <v>38</v>
      </c>
      <c r="E75" s="3">
        <v>84</v>
      </c>
      <c r="F75" s="3">
        <v>3528</v>
      </c>
    </row>
    <row r="76" spans="1:6" x14ac:dyDescent="0.25">
      <c r="A76" s="3" t="s">
        <v>10</v>
      </c>
      <c r="B76" s="3" t="s">
        <v>20</v>
      </c>
      <c r="C76" s="3" t="s">
        <v>29</v>
      </c>
      <c r="D76" s="3" t="s">
        <v>38</v>
      </c>
      <c r="E76" s="3">
        <v>99</v>
      </c>
      <c r="F76" s="3">
        <v>5940</v>
      </c>
    </row>
    <row r="77" spans="1:6" x14ac:dyDescent="0.25">
      <c r="A77" s="3" t="s">
        <v>11</v>
      </c>
      <c r="B77" s="3" t="s">
        <v>21</v>
      </c>
      <c r="C77" s="3" t="s">
        <v>28</v>
      </c>
      <c r="D77" s="3" t="s">
        <v>38</v>
      </c>
      <c r="E77" s="3">
        <v>74</v>
      </c>
      <c r="F77" s="3">
        <v>5328</v>
      </c>
    </row>
    <row r="78" spans="1:6" x14ac:dyDescent="0.25">
      <c r="A78" s="3" t="s">
        <v>12</v>
      </c>
      <c r="B78" s="3" t="s">
        <v>22</v>
      </c>
      <c r="C78" s="3" t="s">
        <v>28</v>
      </c>
      <c r="D78" s="3" t="s">
        <v>38</v>
      </c>
      <c r="E78" s="3">
        <v>76</v>
      </c>
      <c r="F78" s="3">
        <v>3268</v>
      </c>
    </row>
    <row r="79" spans="1:6" x14ac:dyDescent="0.25">
      <c r="A79" s="3" t="s">
        <v>13</v>
      </c>
      <c r="B79" s="3" t="s">
        <v>23</v>
      </c>
      <c r="C79" s="3" t="s">
        <v>27</v>
      </c>
      <c r="D79" s="3" t="s">
        <v>38</v>
      </c>
      <c r="E79" s="3">
        <v>92</v>
      </c>
      <c r="F79" s="3">
        <v>6440</v>
      </c>
    </row>
    <row r="80" spans="1:6" x14ac:dyDescent="0.25">
      <c r="A80" s="3" t="s">
        <v>14</v>
      </c>
      <c r="B80" s="3" t="s">
        <v>24</v>
      </c>
      <c r="C80" s="3" t="s">
        <v>28</v>
      </c>
      <c r="D80" s="3" t="s">
        <v>38</v>
      </c>
      <c r="E80" s="3">
        <v>93</v>
      </c>
      <c r="F80" s="3">
        <v>6138</v>
      </c>
    </row>
    <row r="81" spans="1:6" x14ac:dyDescent="0.25">
      <c r="A81" s="3" t="s">
        <v>15</v>
      </c>
      <c r="B81" s="3" t="s">
        <v>25</v>
      </c>
      <c r="C81" s="3" t="s">
        <v>28</v>
      </c>
      <c r="D81" s="3" t="s">
        <v>38</v>
      </c>
      <c r="E81" s="3">
        <v>77</v>
      </c>
      <c r="F81" s="3">
        <v>4697</v>
      </c>
    </row>
    <row r="82" spans="1:6" x14ac:dyDescent="0.25">
      <c r="A82" s="3" t="s">
        <v>6</v>
      </c>
      <c r="B82" s="3" t="s">
        <v>16</v>
      </c>
      <c r="C82" s="3" t="s">
        <v>29</v>
      </c>
      <c r="D82" s="3" t="s">
        <v>39</v>
      </c>
      <c r="E82" s="3">
        <v>83</v>
      </c>
      <c r="F82" s="3">
        <v>5976</v>
      </c>
    </row>
    <row r="83" spans="1:6" x14ac:dyDescent="0.25">
      <c r="A83" s="3" t="s">
        <v>7</v>
      </c>
      <c r="B83" s="3" t="s">
        <v>17</v>
      </c>
      <c r="C83" s="3" t="s">
        <v>27</v>
      </c>
      <c r="D83" s="3" t="s">
        <v>39</v>
      </c>
      <c r="E83" s="3">
        <v>99</v>
      </c>
      <c r="F83" s="3">
        <v>6138</v>
      </c>
    </row>
    <row r="84" spans="1:6" x14ac:dyDescent="0.25">
      <c r="A84" s="3" t="s">
        <v>8</v>
      </c>
      <c r="B84" s="3" t="s">
        <v>18</v>
      </c>
      <c r="C84" s="3" t="s">
        <v>27</v>
      </c>
      <c r="D84" s="3" t="s">
        <v>39</v>
      </c>
      <c r="E84" s="3">
        <v>84</v>
      </c>
      <c r="F84" s="3">
        <v>4956</v>
      </c>
    </row>
    <row r="85" spans="1:6" x14ac:dyDescent="0.25">
      <c r="A85" s="3" t="s">
        <v>9</v>
      </c>
      <c r="B85" s="3" t="s">
        <v>19</v>
      </c>
      <c r="C85" s="3" t="s">
        <v>26</v>
      </c>
      <c r="D85" s="3" t="s">
        <v>39</v>
      </c>
      <c r="E85" s="3">
        <v>84</v>
      </c>
      <c r="F85" s="3">
        <v>4956</v>
      </c>
    </row>
    <row r="86" spans="1:6" x14ac:dyDescent="0.25">
      <c r="A86" s="3" t="s">
        <v>10</v>
      </c>
      <c r="B86" s="3" t="s">
        <v>20</v>
      </c>
      <c r="C86" s="3" t="s">
        <v>29</v>
      </c>
      <c r="D86" s="3" t="s">
        <v>39</v>
      </c>
      <c r="E86" s="3">
        <v>71</v>
      </c>
      <c r="F86" s="3">
        <v>5538</v>
      </c>
    </row>
    <row r="87" spans="1:6" x14ac:dyDescent="0.25">
      <c r="A87" s="3" t="s">
        <v>11</v>
      </c>
      <c r="B87" s="3" t="s">
        <v>21</v>
      </c>
      <c r="C87" s="3" t="s">
        <v>30</v>
      </c>
      <c r="D87" s="3" t="s">
        <v>39</v>
      </c>
      <c r="E87" s="3">
        <v>86</v>
      </c>
      <c r="F87" s="3">
        <v>5332</v>
      </c>
    </row>
    <row r="88" spans="1:6" x14ac:dyDescent="0.25">
      <c r="A88" s="3" t="s">
        <v>12</v>
      </c>
      <c r="B88" s="3" t="s">
        <v>22</v>
      </c>
      <c r="C88" s="3" t="s">
        <v>27</v>
      </c>
      <c r="D88" s="3" t="s">
        <v>39</v>
      </c>
      <c r="E88" s="3">
        <v>77</v>
      </c>
      <c r="F88" s="3">
        <v>5390</v>
      </c>
    </row>
    <row r="89" spans="1:6" x14ac:dyDescent="0.25">
      <c r="A89" s="3" t="s">
        <v>13</v>
      </c>
      <c r="B89" s="3" t="s">
        <v>23</v>
      </c>
      <c r="C89" s="3" t="s">
        <v>29</v>
      </c>
      <c r="D89" s="3" t="s">
        <v>39</v>
      </c>
      <c r="E89" s="3">
        <v>94</v>
      </c>
      <c r="F89" s="3">
        <v>5734</v>
      </c>
    </row>
    <row r="90" spans="1:6" x14ac:dyDescent="0.25">
      <c r="A90" s="3" t="s">
        <v>14</v>
      </c>
      <c r="B90" s="3" t="s">
        <v>24</v>
      </c>
      <c r="C90" s="3" t="s">
        <v>28</v>
      </c>
      <c r="D90" s="3" t="s">
        <v>39</v>
      </c>
      <c r="E90" s="3">
        <v>75</v>
      </c>
      <c r="F90" s="3">
        <v>6000</v>
      </c>
    </row>
    <row r="91" spans="1:6" x14ac:dyDescent="0.25">
      <c r="A91" s="3" t="s">
        <v>15</v>
      </c>
      <c r="B91" s="3" t="s">
        <v>25</v>
      </c>
      <c r="C91" s="3" t="s">
        <v>27</v>
      </c>
      <c r="D91" s="3" t="s">
        <v>39</v>
      </c>
      <c r="E91" s="3">
        <v>71</v>
      </c>
      <c r="F91" s="3">
        <v>3479</v>
      </c>
    </row>
    <row r="92" spans="1:6" x14ac:dyDescent="0.25">
      <c r="A92" s="3" t="s">
        <v>6</v>
      </c>
      <c r="B92" s="3" t="s">
        <v>16</v>
      </c>
      <c r="C92" s="3" t="s">
        <v>27</v>
      </c>
      <c r="D92" s="3" t="s">
        <v>40</v>
      </c>
      <c r="E92" s="3">
        <v>96</v>
      </c>
      <c r="F92" s="3">
        <v>6528</v>
      </c>
    </row>
    <row r="93" spans="1:6" x14ac:dyDescent="0.25">
      <c r="A93" s="3" t="s">
        <v>7</v>
      </c>
      <c r="B93" s="3" t="s">
        <v>17</v>
      </c>
      <c r="C93" s="3" t="s">
        <v>30</v>
      </c>
      <c r="D93" s="3" t="s">
        <v>40</v>
      </c>
      <c r="E93" s="3">
        <v>80</v>
      </c>
      <c r="F93" s="3">
        <v>3600</v>
      </c>
    </row>
    <row r="94" spans="1:6" x14ac:dyDescent="0.25">
      <c r="A94" s="3" t="s">
        <v>8</v>
      </c>
      <c r="B94" s="3" t="s">
        <v>18</v>
      </c>
      <c r="C94" s="3" t="s">
        <v>30</v>
      </c>
      <c r="D94" s="3" t="s">
        <v>40</v>
      </c>
      <c r="E94" s="3">
        <v>86</v>
      </c>
      <c r="F94" s="3">
        <v>4644</v>
      </c>
    </row>
    <row r="95" spans="1:6" x14ac:dyDescent="0.25">
      <c r="A95" s="3" t="s">
        <v>9</v>
      </c>
      <c r="B95" s="3" t="s">
        <v>19</v>
      </c>
      <c r="C95" s="3" t="s">
        <v>27</v>
      </c>
      <c r="D95" s="3" t="s">
        <v>40</v>
      </c>
      <c r="E95" s="3">
        <v>70</v>
      </c>
      <c r="F95" s="3">
        <v>4130</v>
      </c>
    </row>
    <row r="96" spans="1:6" x14ac:dyDescent="0.25">
      <c r="A96" s="3" t="s">
        <v>10</v>
      </c>
      <c r="B96" s="3" t="s">
        <v>20</v>
      </c>
      <c r="C96" s="3" t="s">
        <v>29</v>
      </c>
      <c r="D96" s="3" t="s">
        <v>40</v>
      </c>
      <c r="E96" s="3">
        <v>76</v>
      </c>
      <c r="F96" s="3">
        <v>3420</v>
      </c>
    </row>
    <row r="97" spans="1:6" x14ac:dyDescent="0.25">
      <c r="A97" s="3" t="s">
        <v>11</v>
      </c>
      <c r="B97" s="3" t="s">
        <v>21</v>
      </c>
      <c r="C97" s="3" t="s">
        <v>30</v>
      </c>
      <c r="D97" s="3" t="s">
        <v>40</v>
      </c>
      <c r="E97" s="3">
        <v>98</v>
      </c>
      <c r="F97" s="3">
        <v>4018</v>
      </c>
    </row>
    <row r="98" spans="1:6" x14ac:dyDescent="0.25">
      <c r="A98" s="3" t="s">
        <v>12</v>
      </c>
      <c r="B98" s="3" t="s">
        <v>22</v>
      </c>
      <c r="C98" s="3" t="s">
        <v>28</v>
      </c>
      <c r="D98" s="3" t="s">
        <v>40</v>
      </c>
      <c r="E98" s="3">
        <v>81</v>
      </c>
      <c r="F98" s="3">
        <v>3483</v>
      </c>
    </row>
    <row r="99" spans="1:6" x14ac:dyDescent="0.25">
      <c r="A99" s="3" t="s">
        <v>13</v>
      </c>
      <c r="B99" s="3" t="s">
        <v>23</v>
      </c>
      <c r="C99" s="3" t="s">
        <v>30</v>
      </c>
      <c r="D99" s="3" t="s">
        <v>40</v>
      </c>
      <c r="E99" s="3">
        <v>73</v>
      </c>
      <c r="F99" s="3">
        <v>4234</v>
      </c>
    </row>
    <row r="100" spans="1:6" x14ac:dyDescent="0.25">
      <c r="A100" s="3" t="s">
        <v>14</v>
      </c>
      <c r="B100" s="3" t="s">
        <v>24</v>
      </c>
      <c r="C100" s="3" t="s">
        <v>30</v>
      </c>
      <c r="D100" s="3" t="s">
        <v>40</v>
      </c>
      <c r="E100" s="3">
        <v>86</v>
      </c>
      <c r="F100" s="3">
        <v>6794</v>
      </c>
    </row>
    <row r="101" spans="1:6" x14ac:dyDescent="0.25">
      <c r="A101" s="3" t="s">
        <v>15</v>
      </c>
      <c r="B101" s="3" t="s">
        <v>25</v>
      </c>
      <c r="C101" s="3" t="s">
        <v>29</v>
      </c>
      <c r="D101" s="3" t="s">
        <v>40</v>
      </c>
      <c r="E101" s="3">
        <v>83</v>
      </c>
      <c r="F101" s="3">
        <v>5146</v>
      </c>
    </row>
    <row r="102" spans="1:6" x14ac:dyDescent="0.25">
      <c r="A102" s="3" t="s">
        <v>6</v>
      </c>
      <c r="B102" s="3" t="s">
        <v>16</v>
      </c>
      <c r="C102" s="3" t="s">
        <v>30</v>
      </c>
      <c r="D102" s="3" t="s">
        <v>41</v>
      </c>
      <c r="E102" s="3">
        <v>93</v>
      </c>
      <c r="F102" s="3">
        <v>4092</v>
      </c>
    </row>
    <row r="103" spans="1:6" x14ac:dyDescent="0.25">
      <c r="A103" s="3" t="s">
        <v>7</v>
      </c>
      <c r="B103" s="3" t="s">
        <v>17</v>
      </c>
      <c r="C103" s="3" t="s">
        <v>29</v>
      </c>
      <c r="D103" s="3" t="s">
        <v>41</v>
      </c>
      <c r="E103" s="3">
        <v>92</v>
      </c>
      <c r="F103" s="3">
        <v>4600</v>
      </c>
    </row>
    <row r="104" spans="1:6" x14ac:dyDescent="0.25">
      <c r="A104" s="3" t="s">
        <v>8</v>
      </c>
      <c r="B104" s="3" t="s">
        <v>18</v>
      </c>
      <c r="C104" s="3" t="s">
        <v>29</v>
      </c>
      <c r="D104" s="3" t="s">
        <v>41</v>
      </c>
      <c r="E104" s="3">
        <v>96</v>
      </c>
      <c r="F104" s="3">
        <v>4128</v>
      </c>
    </row>
    <row r="105" spans="1:6" x14ac:dyDescent="0.25">
      <c r="A105" s="3" t="s">
        <v>9</v>
      </c>
      <c r="B105" s="3" t="s">
        <v>19</v>
      </c>
      <c r="C105" s="3" t="s">
        <v>27</v>
      </c>
      <c r="D105" s="3" t="s">
        <v>41</v>
      </c>
      <c r="E105" s="3">
        <v>85</v>
      </c>
      <c r="F105" s="3">
        <v>5950</v>
      </c>
    </row>
    <row r="106" spans="1:6" x14ac:dyDescent="0.25">
      <c r="A106" s="3" t="s">
        <v>10</v>
      </c>
      <c r="B106" s="3" t="s">
        <v>20</v>
      </c>
      <c r="C106" s="3" t="s">
        <v>26</v>
      </c>
      <c r="D106" s="3" t="s">
        <v>41</v>
      </c>
      <c r="E106" s="3">
        <v>91</v>
      </c>
      <c r="F106" s="3">
        <v>4004</v>
      </c>
    </row>
    <row r="107" spans="1:6" x14ac:dyDescent="0.25">
      <c r="A107" s="3" t="s">
        <v>11</v>
      </c>
      <c r="B107" s="3" t="s">
        <v>21</v>
      </c>
      <c r="C107" s="3" t="s">
        <v>30</v>
      </c>
      <c r="D107" s="3" t="s">
        <v>41</v>
      </c>
      <c r="E107" s="3">
        <v>85</v>
      </c>
      <c r="F107" s="3">
        <v>6290</v>
      </c>
    </row>
    <row r="108" spans="1:6" x14ac:dyDescent="0.25">
      <c r="A108" s="3" t="s">
        <v>12</v>
      </c>
      <c r="B108" s="3" t="s">
        <v>22</v>
      </c>
      <c r="C108" s="3" t="s">
        <v>26</v>
      </c>
      <c r="D108" s="3" t="s">
        <v>41</v>
      </c>
      <c r="E108" s="3">
        <v>92</v>
      </c>
      <c r="F108" s="3">
        <v>6532</v>
      </c>
    </row>
    <row r="109" spans="1:6" x14ac:dyDescent="0.25">
      <c r="A109" s="3" t="s">
        <v>13</v>
      </c>
      <c r="B109" s="3" t="s">
        <v>23</v>
      </c>
      <c r="C109" s="3" t="s">
        <v>27</v>
      </c>
      <c r="D109" s="3" t="s">
        <v>41</v>
      </c>
      <c r="E109" s="3">
        <v>77</v>
      </c>
      <c r="F109" s="3">
        <v>3157</v>
      </c>
    </row>
    <row r="110" spans="1:6" x14ac:dyDescent="0.25">
      <c r="A110" s="3" t="s">
        <v>14</v>
      </c>
      <c r="B110" s="3" t="s">
        <v>24</v>
      </c>
      <c r="C110" s="3" t="s">
        <v>29</v>
      </c>
      <c r="D110" s="3" t="s">
        <v>41</v>
      </c>
      <c r="E110" s="3">
        <v>87</v>
      </c>
      <c r="F110" s="3">
        <v>5220</v>
      </c>
    </row>
    <row r="111" spans="1:6" x14ac:dyDescent="0.25">
      <c r="A111" s="3" t="s">
        <v>15</v>
      </c>
      <c r="B111" s="3" t="s">
        <v>25</v>
      </c>
      <c r="C111" s="3" t="s">
        <v>30</v>
      </c>
      <c r="D111" s="3" t="s">
        <v>41</v>
      </c>
      <c r="E111" s="3">
        <v>77</v>
      </c>
      <c r="F111" s="3">
        <v>5467</v>
      </c>
    </row>
    <row r="112" spans="1:6" x14ac:dyDescent="0.25">
      <c r="A112" s="3" t="s">
        <v>6</v>
      </c>
      <c r="B112" s="3" t="s">
        <v>16</v>
      </c>
      <c r="C112" s="3" t="s">
        <v>29</v>
      </c>
      <c r="D112" s="3" t="s">
        <v>42</v>
      </c>
      <c r="E112" s="3">
        <v>71</v>
      </c>
      <c r="F112" s="3">
        <v>4899</v>
      </c>
    </row>
    <row r="113" spans="1:6" x14ac:dyDescent="0.25">
      <c r="A113" s="3" t="s">
        <v>7</v>
      </c>
      <c r="B113" s="3" t="s">
        <v>17</v>
      </c>
      <c r="C113" s="3" t="s">
        <v>28</v>
      </c>
      <c r="D113" s="3" t="s">
        <v>42</v>
      </c>
      <c r="E113" s="3">
        <v>87</v>
      </c>
      <c r="F113" s="3">
        <v>4524</v>
      </c>
    </row>
    <row r="114" spans="1:6" x14ac:dyDescent="0.25">
      <c r="A114" s="3" t="s">
        <v>8</v>
      </c>
      <c r="B114" s="3" t="s">
        <v>18</v>
      </c>
      <c r="C114" s="3" t="s">
        <v>29</v>
      </c>
      <c r="D114" s="3" t="s">
        <v>42</v>
      </c>
      <c r="E114" s="3">
        <v>82</v>
      </c>
      <c r="F114" s="3">
        <v>4428</v>
      </c>
    </row>
    <row r="115" spans="1:6" x14ac:dyDescent="0.25">
      <c r="A115" s="3" t="s">
        <v>9</v>
      </c>
      <c r="B115" s="3" t="s">
        <v>19</v>
      </c>
      <c r="C115" s="3" t="s">
        <v>27</v>
      </c>
      <c r="D115" s="3" t="s">
        <v>42</v>
      </c>
      <c r="E115" s="3">
        <v>89</v>
      </c>
      <c r="F115" s="3">
        <v>3560</v>
      </c>
    </row>
    <row r="116" spans="1:6" x14ac:dyDescent="0.25">
      <c r="A116" s="3" t="s">
        <v>10</v>
      </c>
      <c r="B116" s="3" t="s">
        <v>20</v>
      </c>
      <c r="C116" s="3" t="s">
        <v>27</v>
      </c>
      <c r="D116" s="3" t="s">
        <v>42</v>
      </c>
      <c r="E116" s="3">
        <v>96</v>
      </c>
      <c r="F116" s="3">
        <v>6432</v>
      </c>
    </row>
    <row r="117" spans="1:6" x14ac:dyDescent="0.25">
      <c r="A117" s="3" t="s">
        <v>11</v>
      </c>
      <c r="B117" s="3" t="s">
        <v>21</v>
      </c>
      <c r="C117" s="3" t="s">
        <v>30</v>
      </c>
      <c r="D117" s="3" t="s">
        <v>42</v>
      </c>
      <c r="E117" s="3">
        <v>71</v>
      </c>
      <c r="F117" s="3">
        <v>3834</v>
      </c>
    </row>
    <row r="118" spans="1:6" x14ac:dyDescent="0.25">
      <c r="A118" s="3" t="s">
        <v>12</v>
      </c>
      <c r="B118" s="3" t="s">
        <v>22</v>
      </c>
      <c r="C118" s="3" t="s">
        <v>28</v>
      </c>
      <c r="D118" s="3" t="s">
        <v>42</v>
      </c>
      <c r="E118" s="3">
        <v>75</v>
      </c>
      <c r="F118" s="3">
        <v>5775</v>
      </c>
    </row>
    <row r="119" spans="1:6" x14ac:dyDescent="0.25">
      <c r="A119" s="3" t="s">
        <v>13</v>
      </c>
      <c r="B119" s="3" t="s">
        <v>23</v>
      </c>
      <c r="C119" s="3" t="s">
        <v>28</v>
      </c>
      <c r="D119" s="3" t="s">
        <v>42</v>
      </c>
      <c r="E119" s="3">
        <v>75</v>
      </c>
      <c r="F119" s="3">
        <v>4125</v>
      </c>
    </row>
    <row r="120" spans="1:6" x14ac:dyDescent="0.25">
      <c r="A120" s="3" t="s">
        <v>14</v>
      </c>
      <c r="B120" s="3" t="s">
        <v>24</v>
      </c>
      <c r="C120" s="3" t="s">
        <v>30</v>
      </c>
      <c r="D120" s="3" t="s">
        <v>42</v>
      </c>
      <c r="E120" s="3">
        <v>75</v>
      </c>
      <c r="F120" s="3">
        <v>5775</v>
      </c>
    </row>
    <row r="121" spans="1:6" x14ac:dyDescent="0.25">
      <c r="A121" s="3" t="s">
        <v>15</v>
      </c>
      <c r="B121" s="3" t="s">
        <v>25</v>
      </c>
      <c r="C121" s="3" t="s">
        <v>26</v>
      </c>
      <c r="D121" s="3" t="s">
        <v>42</v>
      </c>
      <c r="E121" s="3">
        <v>73</v>
      </c>
      <c r="F121" s="3">
        <v>3285</v>
      </c>
    </row>
  </sheetData>
  <autoFilter ref="A1:F12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G6" sqref="G6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customWidth="1"/>
    <col min="5" max="5" width="17.28515625" bestFit="1" customWidth="1"/>
    <col min="6" max="6" width="12.5703125" customWidth="1"/>
    <col min="7" max="7" width="19.42578125" bestFit="1" customWidth="1"/>
    <col min="8" max="8" width="17.42578125" bestFit="1" customWidth="1"/>
    <col min="11" max="11" width="11.140625" bestFit="1" customWidth="1"/>
    <col min="12" max="12" width="19.42578125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45</v>
      </c>
      <c r="K1" s="2" t="s">
        <v>2</v>
      </c>
      <c r="L1" s="2" t="s">
        <v>43</v>
      </c>
      <c r="M1" s="2" t="s">
        <v>45</v>
      </c>
    </row>
    <row r="2" spans="1:13" x14ac:dyDescent="0.25">
      <c r="A2" s="4" t="s">
        <v>10</v>
      </c>
      <c r="B2" s="3" t="s">
        <v>20</v>
      </c>
      <c r="C2" s="3" t="s">
        <v>30</v>
      </c>
      <c r="D2" s="3" t="s">
        <v>31</v>
      </c>
      <c r="E2" s="3">
        <v>85</v>
      </c>
      <c r="F2" s="3">
        <v>4250</v>
      </c>
      <c r="G2" s="3">
        <f>AVERAGE(E2:E11)</f>
        <v>83.1</v>
      </c>
      <c r="H2" s="3">
        <f>SUM(F:F)</f>
        <v>53507</v>
      </c>
      <c r="K2" s="3" t="s">
        <v>30</v>
      </c>
      <c r="L2" s="3">
        <f>AVERAGE(E2)</f>
        <v>85</v>
      </c>
      <c r="M2" s="3">
        <f>SUM(F2)</f>
        <v>4250</v>
      </c>
    </row>
    <row r="3" spans="1:13" x14ac:dyDescent="0.25">
      <c r="A3" s="4" t="s">
        <v>6</v>
      </c>
      <c r="B3" s="3" t="s">
        <v>16</v>
      </c>
      <c r="C3" s="3" t="s">
        <v>26</v>
      </c>
      <c r="D3" s="3" t="s">
        <v>31</v>
      </c>
      <c r="E3" s="3">
        <v>83</v>
      </c>
      <c r="F3" s="3">
        <v>5644</v>
      </c>
      <c r="K3" s="3" t="s">
        <v>26</v>
      </c>
      <c r="L3" s="3">
        <f>AVERAGE(E3:E5)</f>
        <v>83</v>
      </c>
      <c r="M3" s="3">
        <f>SUM(F3:F5)</f>
        <v>17168</v>
      </c>
    </row>
    <row r="4" spans="1:13" x14ac:dyDescent="0.25">
      <c r="A4" s="4" t="s">
        <v>12</v>
      </c>
      <c r="B4" s="3" t="s">
        <v>22</v>
      </c>
      <c r="C4" s="3" t="s">
        <v>26</v>
      </c>
      <c r="D4" s="3" t="s">
        <v>31</v>
      </c>
      <c r="E4" s="3">
        <v>78</v>
      </c>
      <c r="F4" s="3">
        <v>4836</v>
      </c>
      <c r="K4" s="3" t="s">
        <v>28</v>
      </c>
      <c r="L4" s="3">
        <f>AVERAGE(E6:E7)</f>
        <v>72.5</v>
      </c>
      <c r="M4" s="3">
        <f>SUM(F6:F7)</f>
        <v>10606</v>
      </c>
    </row>
    <row r="5" spans="1:13" x14ac:dyDescent="0.25">
      <c r="A5" s="4" t="s">
        <v>15</v>
      </c>
      <c r="B5" s="3" t="s">
        <v>25</v>
      </c>
      <c r="C5" s="3" t="s">
        <v>26</v>
      </c>
      <c r="D5" s="3" t="s">
        <v>31</v>
      </c>
      <c r="E5" s="3">
        <v>88</v>
      </c>
      <c r="F5" s="3">
        <v>6688</v>
      </c>
      <c r="K5" s="3" t="s">
        <v>27</v>
      </c>
      <c r="L5" s="8">
        <f>AVERAGE(E8:E10)</f>
        <v>88.666666666666671</v>
      </c>
      <c r="M5" s="3">
        <f>SUM(F8:F10)</f>
        <v>15463</v>
      </c>
    </row>
    <row r="6" spans="1:13" x14ac:dyDescent="0.25">
      <c r="A6" s="4" t="s">
        <v>8</v>
      </c>
      <c r="B6" s="3" t="s">
        <v>18</v>
      </c>
      <c r="C6" s="3" t="s">
        <v>28</v>
      </c>
      <c r="D6" s="3" t="s">
        <v>31</v>
      </c>
      <c r="E6" s="3">
        <v>74</v>
      </c>
      <c r="F6" s="3">
        <v>5920</v>
      </c>
      <c r="K6" s="3" t="s">
        <v>29</v>
      </c>
      <c r="L6" s="3">
        <f>AVERAGE(E11)</f>
        <v>86</v>
      </c>
      <c r="M6" s="3">
        <f>SUM(F11)</f>
        <v>6020</v>
      </c>
    </row>
    <row r="7" spans="1:13" x14ac:dyDescent="0.25">
      <c r="A7" s="4" t="s">
        <v>11</v>
      </c>
      <c r="B7" s="3" t="s">
        <v>21</v>
      </c>
      <c r="C7" s="3" t="s">
        <v>28</v>
      </c>
      <c r="D7" s="3" t="s">
        <v>31</v>
      </c>
      <c r="E7" s="3">
        <v>71</v>
      </c>
      <c r="F7" s="3">
        <v>4686</v>
      </c>
    </row>
    <row r="8" spans="1:13" x14ac:dyDescent="0.25">
      <c r="A8" s="4" t="s">
        <v>7</v>
      </c>
      <c r="B8" s="3" t="s">
        <v>17</v>
      </c>
      <c r="C8" s="3" t="s">
        <v>27</v>
      </c>
      <c r="D8" s="3" t="s">
        <v>31</v>
      </c>
      <c r="E8" s="3">
        <v>91</v>
      </c>
      <c r="F8" s="3">
        <v>3913</v>
      </c>
    </row>
    <row r="9" spans="1:13" x14ac:dyDescent="0.25">
      <c r="A9" s="4" t="s">
        <v>13</v>
      </c>
      <c r="B9" s="3" t="s">
        <v>23</v>
      </c>
      <c r="C9" s="3" t="s">
        <v>27</v>
      </c>
      <c r="D9" s="3" t="s">
        <v>31</v>
      </c>
      <c r="E9" s="3">
        <v>77</v>
      </c>
      <c r="F9" s="3">
        <v>5082</v>
      </c>
    </row>
    <row r="10" spans="1:13" x14ac:dyDescent="0.25">
      <c r="A10" s="4" t="s">
        <v>14</v>
      </c>
      <c r="B10" s="3" t="s">
        <v>24</v>
      </c>
      <c r="C10" s="3" t="s">
        <v>27</v>
      </c>
      <c r="D10" s="3" t="s">
        <v>31</v>
      </c>
      <c r="E10" s="3">
        <v>98</v>
      </c>
      <c r="F10" s="3">
        <v>6468</v>
      </c>
    </row>
    <row r="11" spans="1:13" x14ac:dyDescent="0.25">
      <c r="A11" s="4" t="s">
        <v>9</v>
      </c>
      <c r="B11" s="3" t="s">
        <v>19</v>
      </c>
      <c r="C11" s="3" t="s">
        <v>29</v>
      </c>
      <c r="D11" s="3" t="s">
        <v>31</v>
      </c>
      <c r="E11" s="3">
        <v>86</v>
      </c>
      <c r="F11" s="3">
        <v>6020</v>
      </c>
    </row>
  </sheetData>
  <sortState xmlns:xlrd2="http://schemas.microsoft.com/office/spreadsheetml/2017/richdata2" ref="K2:M6">
    <sortCondition ref="K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selection activeCell="G3" sqref="G3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bestFit="1" customWidth="1"/>
    <col min="5" max="5" width="17.28515625" bestFit="1" customWidth="1"/>
    <col min="6" max="6" width="12.5703125" bestFit="1" customWidth="1"/>
    <col min="7" max="7" width="19.42578125" bestFit="1" customWidth="1"/>
    <col min="8" max="8" width="17.42578125" bestFit="1" customWidth="1"/>
    <col min="11" max="11" width="11.140625" bestFit="1" customWidth="1"/>
    <col min="12" max="12" width="19.42578125" bestFit="1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45</v>
      </c>
      <c r="K1" s="2" t="s">
        <v>2</v>
      </c>
      <c r="L1" s="2" t="s">
        <v>43</v>
      </c>
      <c r="M1" s="2" t="s">
        <v>45</v>
      </c>
    </row>
    <row r="2" spans="1:13" x14ac:dyDescent="0.25">
      <c r="A2" s="3" t="s">
        <v>12</v>
      </c>
      <c r="B2" s="3" t="s">
        <v>22</v>
      </c>
      <c r="C2" s="3" t="s">
        <v>30</v>
      </c>
      <c r="D2" s="3" t="s">
        <v>32</v>
      </c>
      <c r="E2" s="3">
        <v>80</v>
      </c>
      <c r="F2" s="3">
        <v>6400</v>
      </c>
      <c r="G2" s="3">
        <f>AVERAGE(E:E)</f>
        <v>81.3</v>
      </c>
      <c r="H2" s="3">
        <f>SUM(F:F)</f>
        <v>49419</v>
      </c>
      <c r="K2" s="3" t="s">
        <v>30</v>
      </c>
      <c r="L2" s="3">
        <f>AVERAGE(E2:E3)</f>
        <v>89</v>
      </c>
      <c r="M2" s="3">
        <f>SUM(F2:F3)</f>
        <v>12084</v>
      </c>
    </row>
    <row r="3" spans="1:13" x14ac:dyDescent="0.25">
      <c r="A3" s="3" t="s">
        <v>8</v>
      </c>
      <c r="B3" s="3" t="s">
        <v>18</v>
      </c>
      <c r="C3" s="3" t="s">
        <v>30</v>
      </c>
      <c r="D3" s="3" t="s">
        <v>32</v>
      </c>
      <c r="E3" s="3">
        <v>98</v>
      </c>
      <c r="F3" s="3">
        <v>5684</v>
      </c>
      <c r="K3" s="3" t="s">
        <v>26</v>
      </c>
      <c r="L3" s="3">
        <f>AVERAGE(E4:E5)</f>
        <v>70.5</v>
      </c>
      <c r="M3" s="3">
        <f>SUM(F4:F5)</f>
        <v>6833</v>
      </c>
    </row>
    <row r="4" spans="1:13" x14ac:dyDescent="0.25">
      <c r="A4" s="3" t="s">
        <v>15</v>
      </c>
      <c r="B4" s="3" t="s">
        <v>25</v>
      </c>
      <c r="C4" s="3" t="s">
        <v>26</v>
      </c>
      <c r="D4" s="3" t="s">
        <v>32</v>
      </c>
      <c r="E4" s="3">
        <v>71</v>
      </c>
      <c r="F4" s="3">
        <v>3053</v>
      </c>
      <c r="K4" s="3" t="s">
        <v>28</v>
      </c>
      <c r="L4" s="3">
        <f>AVERAGE(E6)</f>
        <v>82</v>
      </c>
      <c r="M4" s="3">
        <f>SUM(F6)</f>
        <v>6314</v>
      </c>
    </row>
    <row r="5" spans="1:13" x14ac:dyDescent="0.25">
      <c r="A5" s="3" t="s">
        <v>14</v>
      </c>
      <c r="B5" s="3" t="s">
        <v>24</v>
      </c>
      <c r="C5" s="3" t="s">
        <v>26</v>
      </c>
      <c r="D5" s="3" t="s">
        <v>32</v>
      </c>
      <c r="E5" s="3">
        <v>70</v>
      </c>
      <c r="F5" s="3">
        <v>3780</v>
      </c>
      <c r="K5" s="3" t="s">
        <v>27</v>
      </c>
      <c r="L5" s="3">
        <f>AVERAGE(E7:E10)</f>
        <v>81</v>
      </c>
      <c r="M5" s="3">
        <f>SUM(F7:F10)</f>
        <v>19084</v>
      </c>
    </row>
    <row r="6" spans="1:13" x14ac:dyDescent="0.25">
      <c r="A6" s="3" t="s">
        <v>10</v>
      </c>
      <c r="B6" s="3" t="s">
        <v>20</v>
      </c>
      <c r="C6" s="3" t="s">
        <v>28</v>
      </c>
      <c r="D6" s="3" t="s">
        <v>32</v>
      </c>
      <c r="E6" s="3">
        <v>82</v>
      </c>
      <c r="F6" s="3">
        <v>6314</v>
      </c>
      <c r="K6" s="3" t="s">
        <v>29</v>
      </c>
      <c r="L6" s="3">
        <f>AVERAGE(E11)</f>
        <v>88</v>
      </c>
      <c r="M6" s="3">
        <f>SUM(F11)</f>
        <v>5104</v>
      </c>
    </row>
    <row r="7" spans="1:13" x14ac:dyDescent="0.25">
      <c r="A7" s="3" t="s">
        <v>6</v>
      </c>
      <c r="B7" s="3" t="s">
        <v>16</v>
      </c>
      <c r="C7" s="3" t="s">
        <v>27</v>
      </c>
      <c r="D7" s="3" t="s">
        <v>32</v>
      </c>
      <c r="E7" s="3">
        <v>82</v>
      </c>
      <c r="F7" s="3">
        <v>5248</v>
      </c>
    </row>
    <row r="8" spans="1:13" x14ac:dyDescent="0.25">
      <c r="A8" s="3" t="s">
        <v>9</v>
      </c>
      <c r="B8" s="3" t="s">
        <v>19</v>
      </c>
      <c r="C8" s="3" t="s">
        <v>27</v>
      </c>
      <c r="D8" s="3" t="s">
        <v>32</v>
      </c>
      <c r="E8" s="3">
        <v>76</v>
      </c>
      <c r="F8" s="3">
        <v>3420</v>
      </c>
    </row>
    <row r="9" spans="1:13" x14ac:dyDescent="0.25">
      <c r="A9" s="3" t="s">
        <v>13</v>
      </c>
      <c r="B9" s="3" t="s">
        <v>23</v>
      </c>
      <c r="C9" s="3" t="s">
        <v>27</v>
      </c>
      <c r="D9" s="3" t="s">
        <v>32</v>
      </c>
      <c r="E9" s="3">
        <v>95</v>
      </c>
      <c r="F9" s="3">
        <v>7505</v>
      </c>
    </row>
    <row r="10" spans="1:13" x14ac:dyDescent="0.25">
      <c r="A10" s="3" t="s">
        <v>7</v>
      </c>
      <c r="B10" s="3" t="s">
        <v>17</v>
      </c>
      <c r="C10" s="3" t="s">
        <v>27</v>
      </c>
      <c r="D10" s="3" t="s">
        <v>32</v>
      </c>
      <c r="E10" s="3">
        <v>71</v>
      </c>
      <c r="F10" s="3">
        <v>2911</v>
      </c>
    </row>
    <row r="11" spans="1:13" x14ac:dyDescent="0.25">
      <c r="A11" s="3" t="s">
        <v>11</v>
      </c>
      <c r="B11" s="3" t="s">
        <v>21</v>
      </c>
      <c r="C11" s="3" t="s">
        <v>29</v>
      </c>
      <c r="D11" s="3" t="s">
        <v>32</v>
      </c>
      <c r="E11" s="3">
        <v>88</v>
      </c>
      <c r="F11" s="3">
        <v>5104</v>
      </c>
    </row>
  </sheetData>
  <sortState xmlns:xlrd2="http://schemas.microsoft.com/office/spreadsheetml/2017/richdata2" ref="A2:H11">
    <sortCondition ref="C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>
      <selection activeCell="G3" sqref="G3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bestFit="1" customWidth="1"/>
    <col min="5" max="5" width="17.28515625" bestFit="1" customWidth="1"/>
    <col min="6" max="6" width="12.5703125" bestFit="1" customWidth="1"/>
    <col min="7" max="7" width="19.42578125" bestFit="1" customWidth="1"/>
    <col min="8" max="8" width="17.42578125" bestFit="1" customWidth="1"/>
    <col min="11" max="11" width="11.140625" bestFit="1" customWidth="1"/>
    <col min="12" max="12" width="19.42578125" bestFit="1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45</v>
      </c>
      <c r="K1" s="2" t="s">
        <v>2</v>
      </c>
      <c r="L1" s="2" t="s">
        <v>43</v>
      </c>
      <c r="M1" s="2" t="s">
        <v>45</v>
      </c>
    </row>
    <row r="2" spans="1:13" x14ac:dyDescent="0.25">
      <c r="A2" s="3" t="s">
        <v>7</v>
      </c>
      <c r="B2" s="3" t="s">
        <v>17</v>
      </c>
      <c r="C2" s="3" t="s">
        <v>30</v>
      </c>
      <c r="D2" s="3" t="s">
        <v>33</v>
      </c>
      <c r="E2" s="3">
        <v>70</v>
      </c>
      <c r="F2" s="3">
        <v>2800</v>
      </c>
      <c r="G2" s="3">
        <f>AVERAGE(E:E)</f>
        <v>85</v>
      </c>
      <c r="H2" s="3">
        <f>SUM(F:F)</f>
        <v>49172</v>
      </c>
      <c r="K2" s="3" t="s">
        <v>30</v>
      </c>
      <c r="L2" s="3">
        <f>AVERAGE(E2:E5)</f>
        <v>81.5</v>
      </c>
      <c r="M2" s="3">
        <f>SUM(F2:F5)</f>
        <v>17684</v>
      </c>
    </row>
    <row r="3" spans="1:13" x14ac:dyDescent="0.25">
      <c r="A3" s="3" t="s">
        <v>9</v>
      </c>
      <c r="B3" s="3" t="s">
        <v>19</v>
      </c>
      <c r="C3" s="3" t="s">
        <v>30</v>
      </c>
      <c r="D3" s="3" t="s">
        <v>33</v>
      </c>
      <c r="E3" s="3">
        <v>76</v>
      </c>
      <c r="F3" s="3">
        <v>5168</v>
      </c>
      <c r="K3" s="3" t="s">
        <v>26</v>
      </c>
      <c r="L3" s="3">
        <f>AVERAGE(E6:E8)</f>
        <v>92.333333333333329</v>
      </c>
      <c r="M3" s="3">
        <f>SUM(F6:F8)</f>
        <v>17595</v>
      </c>
    </row>
    <row r="4" spans="1:13" x14ac:dyDescent="0.25">
      <c r="A4" s="3" t="s">
        <v>11</v>
      </c>
      <c r="B4" s="3" t="s">
        <v>21</v>
      </c>
      <c r="C4" s="3" t="s">
        <v>30</v>
      </c>
      <c r="D4" s="3" t="s">
        <v>33</v>
      </c>
      <c r="E4" s="3">
        <v>82</v>
      </c>
      <c r="F4" s="3">
        <v>3444</v>
      </c>
      <c r="K4" s="3" t="s">
        <v>28</v>
      </c>
      <c r="L4" s="3">
        <f>AVERAGE(E9)</f>
        <v>72</v>
      </c>
      <c r="M4" s="3">
        <f>SUM(F9)</f>
        <v>3456</v>
      </c>
    </row>
    <row r="5" spans="1:13" x14ac:dyDescent="0.25">
      <c r="A5" s="3" t="s">
        <v>13</v>
      </c>
      <c r="B5" s="3" t="s">
        <v>23</v>
      </c>
      <c r="C5" s="3" t="s">
        <v>30</v>
      </c>
      <c r="D5" s="3" t="s">
        <v>33</v>
      </c>
      <c r="E5" s="3">
        <v>98</v>
      </c>
      <c r="F5" s="3">
        <v>6272</v>
      </c>
      <c r="K5" s="3" t="s">
        <v>27</v>
      </c>
      <c r="L5" s="3">
        <f>AVERAGE(E10)</f>
        <v>77</v>
      </c>
      <c r="M5" s="3">
        <f>SUM(F10)</f>
        <v>3773</v>
      </c>
    </row>
    <row r="6" spans="1:13" x14ac:dyDescent="0.25">
      <c r="A6" s="3" t="s">
        <v>10</v>
      </c>
      <c r="B6" s="3" t="s">
        <v>20</v>
      </c>
      <c r="C6" s="3" t="s">
        <v>26</v>
      </c>
      <c r="D6" s="3" t="s">
        <v>33</v>
      </c>
      <c r="E6" s="3">
        <v>98</v>
      </c>
      <c r="F6" s="3">
        <v>5292</v>
      </c>
      <c r="K6" s="3" t="s">
        <v>29</v>
      </c>
      <c r="L6" s="3">
        <f>AVERAGE(E11)</f>
        <v>98</v>
      </c>
      <c r="M6" s="3">
        <f>SUM(F11)</f>
        <v>6664</v>
      </c>
    </row>
    <row r="7" spans="1:13" x14ac:dyDescent="0.25">
      <c r="A7" s="3" t="s">
        <v>12</v>
      </c>
      <c r="B7" s="3" t="s">
        <v>22</v>
      </c>
      <c r="C7" s="3" t="s">
        <v>26</v>
      </c>
      <c r="D7" s="3" t="s">
        <v>33</v>
      </c>
      <c r="E7" s="3">
        <v>100</v>
      </c>
      <c r="F7" s="3">
        <v>7800</v>
      </c>
    </row>
    <row r="8" spans="1:13" x14ac:dyDescent="0.25">
      <c r="A8" s="3" t="s">
        <v>15</v>
      </c>
      <c r="B8" s="3" t="s">
        <v>25</v>
      </c>
      <c r="C8" s="3" t="s">
        <v>26</v>
      </c>
      <c r="D8" s="3" t="s">
        <v>33</v>
      </c>
      <c r="E8" s="3">
        <v>79</v>
      </c>
      <c r="F8" s="3">
        <v>4503</v>
      </c>
    </row>
    <row r="9" spans="1:13" x14ac:dyDescent="0.25">
      <c r="A9" s="3" t="s">
        <v>8</v>
      </c>
      <c r="B9" s="3" t="s">
        <v>18</v>
      </c>
      <c r="C9" s="3" t="s">
        <v>28</v>
      </c>
      <c r="D9" s="3" t="s">
        <v>33</v>
      </c>
      <c r="E9" s="3">
        <v>72</v>
      </c>
      <c r="F9" s="3">
        <v>3456</v>
      </c>
    </row>
    <row r="10" spans="1:13" x14ac:dyDescent="0.25">
      <c r="A10" s="3" t="s">
        <v>6</v>
      </c>
      <c r="B10" s="3" t="s">
        <v>16</v>
      </c>
      <c r="C10" s="3" t="s">
        <v>27</v>
      </c>
      <c r="D10" s="3" t="s">
        <v>33</v>
      </c>
      <c r="E10" s="3">
        <v>77</v>
      </c>
      <c r="F10" s="3">
        <v>3773</v>
      </c>
    </row>
    <row r="11" spans="1:13" x14ac:dyDescent="0.25">
      <c r="A11" s="3" t="s">
        <v>14</v>
      </c>
      <c r="B11" s="3" t="s">
        <v>24</v>
      </c>
      <c r="C11" s="3" t="s">
        <v>29</v>
      </c>
      <c r="D11" s="3" t="s">
        <v>33</v>
      </c>
      <c r="E11" s="3">
        <v>98</v>
      </c>
      <c r="F11" s="3">
        <v>6664</v>
      </c>
    </row>
  </sheetData>
  <sortState xmlns:xlrd2="http://schemas.microsoft.com/office/spreadsheetml/2017/richdata2" ref="A2:H11">
    <sortCondition ref="C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>
      <selection activeCell="G3" sqref="G3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bestFit="1" customWidth="1"/>
    <col min="5" max="5" width="17.28515625" bestFit="1" customWidth="1"/>
    <col min="6" max="6" width="12.5703125" bestFit="1" customWidth="1"/>
    <col min="7" max="7" width="19.42578125" bestFit="1" customWidth="1"/>
    <col min="8" max="8" width="17.42578125" bestFit="1" customWidth="1"/>
    <col min="11" max="11" width="11.140625" bestFit="1" customWidth="1"/>
    <col min="12" max="12" width="19.42578125" bestFit="1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45</v>
      </c>
      <c r="K1" s="2" t="s">
        <v>2</v>
      </c>
      <c r="L1" s="2" t="s">
        <v>43</v>
      </c>
      <c r="M1" s="2" t="s">
        <v>45</v>
      </c>
    </row>
    <row r="2" spans="1:13" x14ac:dyDescent="0.25">
      <c r="A2" s="3" t="s">
        <v>15</v>
      </c>
      <c r="B2" s="3" t="s">
        <v>25</v>
      </c>
      <c r="C2" s="3" t="s">
        <v>30</v>
      </c>
      <c r="D2" s="3" t="s">
        <v>34</v>
      </c>
      <c r="E2" s="3">
        <v>92</v>
      </c>
      <c r="F2" s="3">
        <v>6256</v>
      </c>
      <c r="G2" s="3">
        <f>AVERAGE(E:E)</f>
        <v>84.6</v>
      </c>
      <c r="H2" s="3">
        <f>SUM(F:F)</f>
        <v>52887</v>
      </c>
      <c r="K2" s="3" t="s">
        <v>30</v>
      </c>
      <c r="L2" s="3">
        <f>AVERAGE(E2)</f>
        <v>92</v>
      </c>
      <c r="M2" s="3">
        <f>SUM(F2)</f>
        <v>6256</v>
      </c>
    </row>
    <row r="3" spans="1:13" x14ac:dyDescent="0.25">
      <c r="A3" s="3" t="s">
        <v>12</v>
      </c>
      <c r="B3" s="3" t="s">
        <v>22</v>
      </c>
      <c r="C3" s="3" t="s">
        <v>26</v>
      </c>
      <c r="D3" s="3" t="s">
        <v>34</v>
      </c>
      <c r="E3" s="3">
        <v>89</v>
      </c>
      <c r="F3" s="3">
        <v>4361</v>
      </c>
      <c r="K3" s="3" t="s">
        <v>26</v>
      </c>
      <c r="L3" s="3">
        <f>AVERAGE(E3:E4)</f>
        <v>92.5</v>
      </c>
      <c r="M3" s="3">
        <f>SUM(F3:F4)</f>
        <v>11657</v>
      </c>
    </row>
    <row r="4" spans="1:13" x14ac:dyDescent="0.25">
      <c r="A4" s="3" t="s">
        <v>13</v>
      </c>
      <c r="B4" s="3" t="s">
        <v>23</v>
      </c>
      <c r="C4" s="3" t="s">
        <v>26</v>
      </c>
      <c r="D4" s="3" t="s">
        <v>34</v>
      </c>
      <c r="E4" s="3">
        <v>96</v>
      </c>
      <c r="F4" s="3">
        <v>7296</v>
      </c>
      <c r="K4" s="3" t="s">
        <v>28</v>
      </c>
      <c r="L4" s="3">
        <f>AVERAGE(E5:E6)</f>
        <v>84.5</v>
      </c>
      <c r="M4" s="3">
        <f>SUM(F5:F6)</f>
        <v>9698</v>
      </c>
    </row>
    <row r="5" spans="1:13" x14ac:dyDescent="0.25">
      <c r="A5" s="3" t="s">
        <v>7</v>
      </c>
      <c r="B5" s="3" t="s">
        <v>17</v>
      </c>
      <c r="C5" s="3" t="s">
        <v>28</v>
      </c>
      <c r="D5" s="3" t="s">
        <v>34</v>
      </c>
      <c r="E5" s="3">
        <v>78</v>
      </c>
      <c r="F5" s="3">
        <v>4056</v>
      </c>
      <c r="K5" s="3" t="s">
        <v>27</v>
      </c>
      <c r="L5" s="3">
        <f>AVERAGE(E7:E8)</f>
        <v>82.5</v>
      </c>
      <c r="M5" s="3">
        <f>SUM(F7:F8)</f>
        <v>12139</v>
      </c>
    </row>
    <row r="6" spans="1:13" x14ac:dyDescent="0.25">
      <c r="A6" s="3" t="s">
        <v>11</v>
      </c>
      <c r="B6" s="3" t="s">
        <v>21</v>
      </c>
      <c r="C6" s="3" t="s">
        <v>28</v>
      </c>
      <c r="D6" s="3" t="s">
        <v>34</v>
      </c>
      <c r="E6" s="3">
        <v>91</v>
      </c>
      <c r="F6" s="3">
        <v>5642</v>
      </c>
      <c r="K6" s="3" t="s">
        <v>29</v>
      </c>
      <c r="L6" s="3">
        <f>AVERAGE(E9:E11)</f>
        <v>78.333333333333329</v>
      </c>
      <c r="M6" s="3">
        <f>SUM(F9:F11)</f>
        <v>13137</v>
      </c>
    </row>
    <row r="7" spans="1:13" x14ac:dyDescent="0.25">
      <c r="A7" s="3" t="s">
        <v>6</v>
      </c>
      <c r="B7" s="3" t="s">
        <v>16</v>
      </c>
      <c r="C7" s="3" t="s">
        <v>27</v>
      </c>
      <c r="D7" s="3" t="s">
        <v>34</v>
      </c>
      <c r="E7" s="3">
        <v>94</v>
      </c>
      <c r="F7" s="3">
        <v>6956</v>
      </c>
    </row>
    <row r="8" spans="1:13" x14ac:dyDescent="0.25">
      <c r="A8" s="3" t="s">
        <v>9</v>
      </c>
      <c r="B8" s="3" t="s">
        <v>19</v>
      </c>
      <c r="C8" s="3" t="s">
        <v>27</v>
      </c>
      <c r="D8" s="3" t="s">
        <v>34</v>
      </c>
      <c r="E8" s="3">
        <v>71</v>
      </c>
      <c r="F8" s="3">
        <v>5183</v>
      </c>
    </row>
    <row r="9" spans="1:13" x14ac:dyDescent="0.25">
      <c r="A9" s="3" t="s">
        <v>8</v>
      </c>
      <c r="B9" s="3" t="s">
        <v>18</v>
      </c>
      <c r="C9" s="3" t="s">
        <v>29</v>
      </c>
      <c r="D9" s="3" t="s">
        <v>34</v>
      </c>
      <c r="E9" s="3">
        <v>78</v>
      </c>
      <c r="F9" s="3">
        <v>5850</v>
      </c>
    </row>
    <row r="10" spans="1:13" x14ac:dyDescent="0.25">
      <c r="A10" s="3" t="s">
        <v>10</v>
      </c>
      <c r="B10" s="3" t="s">
        <v>20</v>
      </c>
      <c r="C10" s="3" t="s">
        <v>29</v>
      </c>
      <c r="D10" s="3" t="s">
        <v>34</v>
      </c>
      <c r="E10" s="3">
        <v>77</v>
      </c>
      <c r="F10" s="3">
        <v>3927</v>
      </c>
    </row>
    <row r="11" spans="1:13" x14ac:dyDescent="0.25">
      <c r="A11" s="3" t="s">
        <v>14</v>
      </c>
      <c r="B11" s="3" t="s">
        <v>24</v>
      </c>
      <c r="C11" s="3" t="s">
        <v>29</v>
      </c>
      <c r="D11" s="3" t="s">
        <v>34</v>
      </c>
      <c r="E11" s="3">
        <v>80</v>
      </c>
      <c r="F11" s="3">
        <v>3360</v>
      </c>
    </row>
  </sheetData>
  <sortState xmlns:xlrd2="http://schemas.microsoft.com/office/spreadsheetml/2017/richdata2" ref="A2:H11">
    <sortCondition ref="C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selection activeCell="G2" sqref="G2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bestFit="1" customWidth="1"/>
    <col min="5" max="5" width="17.28515625" bestFit="1" customWidth="1"/>
    <col min="6" max="6" width="12.5703125" bestFit="1" customWidth="1"/>
    <col min="7" max="7" width="19.42578125" bestFit="1" customWidth="1"/>
    <col min="8" max="8" width="17.42578125" bestFit="1" customWidth="1"/>
    <col min="11" max="11" width="11.140625" bestFit="1" customWidth="1"/>
    <col min="12" max="12" width="19.42578125" bestFit="1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45</v>
      </c>
      <c r="K1" s="2" t="s">
        <v>2</v>
      </c>
      <c r="L1" s="2" t="s">
        <v>43</v>
      </c>
      <c r="M1" s="2" t="s">
        <v>45</v>
      </c>
    </row>
    <row r="2" spans="1:13" x14ac:dyDescent="0.25">
      <c r="A2" s="3" t="s">
        <v>7</v>
      </c>
      <c r="B2" s="3" t="s">
        <v>17</v>
      </c>
      <c r="C2" s="3" t="s">
        <v>26</v>
      </c>
      <c r="D2" s="3" t="s">
        <v>35</v>
      </c>
      <c r="E2" s="3">
        <v>77</v>
      </c>
      <c r="F2" s="3">
        <v>3927</v>
      </c>
      <c r="G2" s="3">
        <f>AVERAGE(E:E)</f>
        <v>85.3</v>
      </c>
      <c r="H2" s="3">
        <f>SUM(F:F)</f>
        <v>57697</v>
      </c>
      <c r="K2" s="3" t="s">
        <v>26</v>
      </c>
      <c r="L2" s="3">
        <f>AVERAGE(E2)</f>
        <v>77</v>
      </c>
      <c r="M2" s="3">
        <f>SUM(F2)</f>
        <v>3927</v>
      </c>
    </row>
    <row r="3" spans="1:13" x14ac:dyDescent="0.25">
      <c r="A3" s="3" t="s">
        <v>10</v>
      </c>
      <c r="B3" s="3" t="s">
        <v>20</v>
      </c>
      <c r="C3" s="3" t="s">
        <v>28</v>
      </c>
      <c r="D3" s="3" t="s">
        <v>35</v>
      </c>
      <c r="E3" s="3">
        <v>97</v>
      </c>
      <c r="F3" s="3">
        <v>7663</v>
      </c>
      <c r="K3" s="3" t="s">
        <v>28</v>
      </c>
      <c r="L3" s="3">
        <f>AVERAGE(E3:E4)</f>
        <v>88.5</v>
      </c>
      <c r="M3" s="3">
        <f>+SUM(F3:F4)</f>
        <v>13423</v>
      </c>
    </row>
    <row r="4" spans="1:13" x14ac:dyDescent="0.25">
      <c r="A4" s="3" t="s">
        <v>11</v>
      </c>
      <c r="B4" s="3" t="s">
        <v>21</v>
      </c>
      <c r="C4" s="3" t="s">
        <v>28</v>
      </c>
      <c r="D4" s="3" t="s">
        <v>35</v>
      </c>
      <c r="E4" s="3">
        <v>80</v>
      </c>
      <c r="F4" s="3">
        <v>5760</v>
      </c>
      <c r="K4" s="3" t="s">
        <v>27</v>
      </c>
      <c r="L4" s="3">
        <f>AVERAGE(E5:E7)</f>
        <v>81.666666666666671</v>
      </c>
      <c r="M4" s="3">
        <f>SUM(F5:F7)</f>
        <v>15620</v>
      </c>
    </row>
    <row r="5" spans="1:13" x14ac:dyDescent="0.25">
      <c r="A5" s="3" t="s">
        <v>8</v>
      </c>
      <c r="B5" s="3" t="s">
        <v>18</v>
      </c>
      <c r="C5" s="3" t="s">
        <v>27</v>
      </c>
      <c r="D5" s="3" t="s">
        <v>35</v>
      </c>
      <c r="E5" s="3">
        <v>79</v>
      </c>
      <c r="F5" s="3">
        <v>6241</v>
      </c>
      <c r="K5" s="3" t="s">
        <v>29</v>
      </c>
      <c r="L5" s="3">
        <f>AVERAGE(E8:E11)</f>
        <v>88.5</v>
      </c>
      <c r="M5" s="3">
        <f>SUM(F8:F11)</f>
        <v>24727</v>
      </c>
    </row>
    <row r="6" spans="1:13" x14ac:dyDescent="0.25">
      <c r="A6" s="3" t="s">
        <v>9</v>
      </c>
      <c r="B6" s="3" t="s">
        <v>19</v>
      </c>
      <c r="C6" s="3" t="s">
        <v>27</v>
      </c>
      <c r="D6" s="3" t="s">
        <v>35</v>
      </c>
      <c r="E6" s="3">
        <v>83</v>
      </c>
      <c r="F6" s="3">
        <v>5395</v>
      </c>
    </row>
    <row r="7" spans="1:13" x14ac:dyDescent="0.25">
      <c r="A7" s="3" t="s">
        <v>13</v>
      </c>
      <c r="B7" s="3" t="s">
        <v>23</v>
      </c>
      <c r="C7" s="3" t="s">
        <v>27</v>
      </c>
      <c r="D7" s="3" t="s">
        <v>35</v>
      </c>
      <c r="E7" s="3">
        <v>83</v>
      </c>
      <c r="F7" s="3">
        <v>3984</v>
      </c>
    </row>
    <row r="8" spans="1:13" x14ac:dyDescent="0.25">
      <c r="A8" s="3" t="s">
        <v>6</v>
      </c>
      <c r="B8" s="3" t="s">
        <v>16</v>
      </c>
      <c r="C8" s="3" t="s">
        <v>29</v>
      </c>
      <c r="D8" s="3" t="s">
        <v>35</v>
      </c>
      <c r="E8" s="3">
        <v>97</v>
      </c>
      <c r="F8" s="3">
        <v>7663</v>
      </c>
    </row>
    <row r="9" spans="1:13" x14ac:dyDescent="0.25">
      <c r="A9" s="3" t="s">
        <v>12</v>
      </c>
      <c r="B9" s="3" t="s">
        <v>22</v>
      </c>
      <c r="C9" s="3" t="s">
        <v>29</v>
      </c>
      <c r="D9" s="3" t="s">
        <v>35</v>
      </c>
      <c r="E9" s="3">
        <v>90</v>
      </c>
      <c r="F9" s="3">
        <v>6300</v>
      </c>
    </row>
    <row r="10" spans="1:13" x14ac:dyDescent="0.25">
      <c r="A10" s="3" t="s">
        <v>14</v>
      </c>
      <c r="B10" s="3" t="s">
        <v>24</v>
      </c>
      <c r="C10" s="3" t="s">
        <v>29</v>
      </c>
      <c r="D10" s="3" t="s">
        <v>35</v>
      </c>
      <c r="E10" s="3">
        <v>84</v>
      </c>
      <c r="F10" s="3">
        <v>4788</v>
      </c>
    </row>
    <row r="11" spans="1:13" x14ac:dyDescent="0.25">
      <c r="A11" s="3" t="s">
        <v>15</v>
      </c>
      <c r="B11" s="3" t="s">
        <v>25</v>
      </c>
      <c r="C11" s="3" t="s">
        <v>29</v>
      </c>
      <c r="D11" s="3" t="s">
        <v>35</v>
      </c>
      <c r="E11" s="3">
        <v>83</v>
      </c>
      <c r="F11" s="3">
        <v>5976</v>
      </c>
    </row>
  </sheetData>
  <sortState xmlns:xlrd2="http://schemas.microsoft.com/office/spreadsheetml/2017/richdata2" ref="A2:H11">
    <sortCondition ref="C1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"/>
  <sheetViews>
    <sheetView workbookViewId="0">
      <selection activeCell="K2" sqref="K2:K5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bestFit="1" customWidth="1"/>
    <col min="5" max="5" width="17.28515625" bestFit="1" customWidth="1"/>
    <col min="6" max="6" width="12.5703125" bestFit="1" customWidth="1"/>
    <col min="7" max="7" width="19.42578125" bestFit="1" customWidth="1"/>
    <col min="8" max="8" width="17.42578125" bestFit="1" customWidth="1"/>
    <col min="11" max="11" width="11.140625" bestFit="1" customWidth="1"/>
    <col min="12" max="12" width="19.42578125" bestFit="1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45</v>
      </c>
      <c r="K1" s="2" t="s">
        <v>2</v>
      </c>
      <c r="L1" s="2" t="s">
        <v>43</v>
      </c>
      <c r="M1" s="2" t="s">
        <v>45</v>
      </c>
    </row>
    <row r="2" spans="1:13" x14ac:dyDescent="0.25">
      <c r="A2" s="3" t="s">
        <v>10</v>
      </c>
      <c r="B2" s="3" t="s">
        <v>20</v>
      </c>
      <c r="C2" s="3" t="s">
        <v>26</v>
      </c>
      <c r="D2" s="3" t="s">
        <v>36</v>
      </c>
      <c r="E2" s="3">
        <v>83</v>
      </c>
      <c r="F2" s="3">
        <v>6142</v>
      </c>
      <c r="G2" s="3">
        <f>AVERAGE(E:E)</f>
        <v>87.5</v>
      </c>
      <c r="H2" s="3">
        <f>SUM(F:F)</f>
        <v>51249</v>
      </c>
      <c r="K2" s="3" t="s">
        <v>26</v>
      </c>
      <c r="L2" s="3">
        <f>AVERAGE(E2)</f>
        <v>83</v>
      </c>
      <c r="M2" s="3">
        <f>SUM(F2)</f>
        <v>6142</v>
      </c>
    </row>
    <row r="3" spans="1:13" x14ac:dyDescent="0.25">
      <c r="A3" s="3" t="s">
        <v>7</v>
      </c>
      <c r="B3" s="3" t="s">
        <v>17</v>
      </c>
      <c r="C3" s="3" t="s">
        <v>28</v>
      </c>
      <c r="D3" s="3" t="s">
        <v>36</v>
      </c>
      <c r="E3" s="3">
        <v>75</v>
      </c>
      <c r="F3" s="3">
        <v>3450</v>
      </c>
      <c r="K3" s="3" t="s">
        <v>28</v>
      </c>
      <c r="L3" s="3">
        <f>AVERAGE(E3:E6)</f>
        <v>89</v>
      </c>
      <c r="M3" s="3">
        <f>SUM(F3:F6)</f>
        <v>20434</v>
      </c>
    </row>
    <row r="4" spans="1:13" x14ac:dyDescent="0.25">
      <c r="A4" s="3" t="s">
        <v>11</v>
      </c>
      <c r="B4" s="3" t="s">
        <v>21</v>
      </c>
      <c r="C4" s="3" t="s">
        <v>28</v>
      </c>
      <c r="D4" s="3" t="s">
        <v>36</v>
      </c>
      <c r="E4" s="3">
        <v>85</v>
      </c>
      <c r="F4" s="3">
        <v>3400</v>
      </c>
      <c r="K4" s="3" t="s">
        <v>27</v>
      </c>
      <c r="L4" s="3">
        <f>AVERAGE(E7:E9)</f>
        <v>84</v>
      </c>
      <c r="M4" s="3">
        <f>SUM(F7:F9)</f>
        <v>15740</v>
      </c>
    </row>
    <row r="5" spans="1:13" x14ac:dyDescent="0.25">
      <c r="A5" s="3" t="s">
        <v>13</v>
      </c>
      <c r="B5" s="3" t="s">
        <v>23</v>
      </c>
      <c r="C5" s="3" t="s">
        <v>28</v>
      </c>
      <c r="D5" s="3" t="s">
        <v>36</v>
      </c>
      <c r="E5" s="3">
        <v>100</v>
      </c>
      <c r="F5" s="3">
        <v>6000</v>
      </c>
      <c r="K5" s="3" t="s">
        <v>29</v>
      </c>
      <c r="L5" s="3">
        <f>AVERAGE(E10:E11)</f>
        <v>92</v>
      </c>
      <c r="M5" s="3">
        <f>SUM(F10:F11)</f>
        <v>8933</v>
      </c>
    </row>
    <row r="6" spans="1:13" x14ac:dyDescent="0.25">
      <c r="A6" s="3" t="s">
        <v>15</v>
      </c>
      <c r="B6" s="3" t="s">
        <v>25</v>
      </c>
      <c r="C6" s="3" t="s">
        <v>28</v>
      </c>
      <c r="D6" s="3" t="s">
        <v>36</v>
      </c>
      <c r="E6" s="3">
        <v>96</v>
      </c>
      <c r="F6" s="3">
        <v>7584</v>
      </c>
    </row>
    <row r="7" spans="1:13" x14ac:dyDescent="0.25">
      <c r="A7" s="3" t="s">
        <v>6</v>
      </c>
      <c r="B7" s="3" t="s">
        <v>16</v>
      </c>
      <c r="C7" s="3" t="s">
        <v>27</v>
      </c>
      <c r="D7" s="3" t="s">
        <v>36</v>
      </c>
      <c r="E7" s="3">
        <v>90</v>
      </c>
      <c r="F7" s="3">
        <v>5760</v>
      </c>
    </row>
    <row r="8" spans="1:13" x14ac:dyDescent="0.25">
      <c r="A8" s="3" t="s">
        <v>9</v>
      </c>
      <c r="B8" s="3" t="s">
        <v>19</v>
      </c>
      <c r="C8" s="3" t="s">
        <v>27</v>
      </c>
      <c r="D8" s="3" t="s">
        <v>36</v>
      </c>
      <c r="E8" s="3">
        <v>77</v>
      </c>
      <c r="F8" s="3">
        <v>5390</v>
      </c>
    </row>
    <row r="9" spans="1:13" x14ac:dyDescent="0.25">
      <c r="A9" s="3" t="s">
        <v>12</v>
      </c>
      <c r="B9" s="3" t="s">
        <v>22</v>
      </c>
      <c r="C9" s="3" t="s">
        <v>27</v>
      </c>
      <c r="D9" s="3" t="s">
        <v>36</v>
      </c>
      <c r="E9" s="3">
        <v>85</v>
      </c>
      <c r="F9" s="3">
        <v>4590</v>
      </c>
    </row>
    <row r="10" spans="1:13" x14ac:dyDescent="0.25">
      <c r="A10" s="3" t="s">
        <v>8</v>
      </c>
      <c r="B10" s="3" t="s">
        <v>18</v>
      </c>
      <c r="C10" s="3" t="s">
        <v>29</v>
      </c>
      <c r="D10" s="3" t="s">
        <v>36</v>
      </c>
      <c r="E10" s="3">
        <v>91</v>
      </c>
      <c r="F10" s="3">
        <v>4004</v>
      </c>
    </row>
    <row r="11" spans="1:13" x14ac:dyDescent="0.25">
      <c r="A11" s="3" t="s">
        <v>14</v>
      </c>
      <c r="B11" s="3" t="s">
        <v>24</v>
      </c>
      <c r="C11" s="3" t="s">
        <v>29</v>
      </c>
      <c r="D11" s="3" t="s">
        <v>36</v>
      </c>
      <c r="E11" s="3">
        <v>93</v>
      </c>
      <c r="F11" s="3">
        <v>4929</v>
      </c>
    </row>
  </sheetData>
  <sortState xmlns:xlrd2="http://schemas.microsoft.com/office/spreadsheetml/2017/richdata2" ref="A2:H11">
    <sortCondition ref="C1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"/>
  <sheetViews>
    <sheetView workbookViewId="0">
      <selection activeCell="K2" sqref="K2:K4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bestFit="1" customWidth="1"/>
    <col min="5" max="5" width="17.28515625" bestFit="1" customWidth="1"/>
    <col min="6" max="6" width="12.5703125" bestFit="1" customWidth="1"/>
    <col min="7" max="7" width="19.42578125" bestFit="1" customWidth="1"/>
    <col min="8" max="8" width="17.42578125" bestFit="1" customWidth="1"/>
    <col min="11" max="11" width="11.140625" bestFit="1" customWidth="1"/>
    <col min="12" max="12" width="19.42578125" bestFit="1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45</v>
      </c>
      <c r="K1" s="2" t="s">
        <v>2</v>
      </c>
      <c r="L1" s="2" t="s">
        <v>43</v>
      </c>
      <c r="M1" s="2" t="s">
        <v>45</v>
      </c>
    </row>
    <row r="2" spans="1:13" x14ac:dyDescent="0.25">
      <c r="A2" s="3" t="s">
        <v>10</v>
      </c>
      <c r="B2" s="3" t="s">
        <v>20</v>
      </c>
      <c r="C2" s="3" t="s">
        <v>28</v>
      </c>
      <c r="D2" s="3" t="s">
        <v>37</v>
      </c>
      <c r="E2" s="3">
        <v>91</v>
      </c>
      <c r="F2" s="3">
        <v>7280</v>
      </c>
      <c r="G2" s="3">
        <f>AVERAGE(E:E)</f>
        <v>85.4</v>
      </c>
      <c r="H2" s="3">
        <f>SUM(F:F)</f>
        <v>54178</v>
      </c>
      <c r="K2" s="3" t="s">
        <v>28</v>
      </c>
      <c r="L2" s="3">
        <f>AVERAGE(E2:E4)</f>
        <v>84.333333333333329</v>
      </c>
      <c r="M2" s="3">
        <f>SUM(F2:F4)</f>
        <v>15972</v>
      </c>
    </row>
    <row r="3" spans="1:13" x14ac:dyDescent="0.25">
      <c r="A3" s="3" t="s">
        <v>12</v>
      </c>
      <c r="B3" s="3" t="s">
        <v>22</v>
      </c>
      <c r="C3" s="3" t="s">
        <v>28</v>
      </c>
      <c r="D3" s="3" t="s">
        <v>37</v>
      </c>
      <c r="E3" s="3">
        <v>79</v>
      </c>
      <c r="F3" s="3">
        <v>5372</v>
      </c>
      <c r="K3" s="3" t="s">
        <v>27</v>
      </c>
      <c r="L3" s="3">
        <f>AVERAGE(E5:E8)</f>
        <v>88</v>
      </c>
      <c r="M3" s="3">
        <f>SUM(F5:F8)</f>
        <v>21271</v>
      </c>
    </row>
    <row r="4" spans="1:13" x14ac:dyDescent="0.25">
      <c r="A4" s="3" t="s">
        <v>13</v>
      </c>
      <c r="B4" s="3" t="s">
        <v>23</v>
      </c>
      <c r="C4" s="3" t="s">
        <v>28</v>
      </c>
      <c r="D4" s="3" t="s">
        <v>37</v>
      </c>
      <c r="E4" s="3">
        <v>83</v>
      </c>
      <c r="F4" s="3">
        <v>3320</v>
      </c>
      <c r="K4" s="3" t="s">
        <v>29</v>
      </c>
      <c r="L4" s="3">
        <f>AVERAGE(E9:E11)</f>
        <v>83</v>
      </c>
      <c r="M4" s="3">
        <f>SUM(F9:F11)</f>
        <v>16935</v>
      </c>
    </row>
    <row r="5" spans="1:13" x14ac:dyDescent="0.25">
      <c r="A5" s="3" t="s">
        <v>6</v>
      </c>
      <c r="B5" s="3" t="s">
        <v>16</v>
      </c>
      <c r="C5" s="3" t="s">
        <v>27</v>
      </c>
      <c r="D5" s="3" t="s">
        <v>37</v>
      </c>
      <c r="E5" s="3">
        <v>93</v>
      </c>
      <c r="F5" s="3">
        <v>4650</v>
      </c>
    </row>
    <row r="6" spans="1:13" x14ac:dyDescent="0.25">
      <c r="A6" s="3" t="s">
        <v>7</v>
      </c>
      <c r="B6" s="3" t="s">
        <v>17</v>
      </c>
      <c r="C6" s="3" t="s">
        <v>27</v>
      </c>
      <c r="D6" s="3" t="s">
        <v>37</v>
      </c>
      <c r="E6" s="3">
        <v>84</v>
      </c>
      <c r="F6" s="3">
        <v>5376</v>
      </c>
    </row>
    <row r="7" spans="1:13" x14ac:dyDescent="0.25">
      <c r="A7" s="3" t="s">
        <v>8</v>
      </c>
      <c r="B7" s="3" t="s">
        <v>18</v>
      </c>
      <c r="C7" s="3" t="s">
        <v>27</v>
      </c>
      <c r="D7" s="3" t="s">
        <v>37</v>
      </c>
      <c r="E7" s="3">
        <v>95</v>
      </c>
      <c r="F7" s="3">
        <v>6365</v>
      </c>
    </row>
    <row r="8" spans="1:13" x14ac:dyDescent="0.25">
      <c r="A8" s="3" t="s">
        <v>9</v>
      </c>
      <c r="B8" s="3" t="s">
        <v>19</v>
      </c>
      <c r="C8" s="3" t="s">
        <v>27</v>
      </c>
      <c r="D8" s="3" t="s">
        <v>37</v>
      </c>
      <c r="E8" s="3">
        <v>80</v>
      </c>
      <c r="F8" s="3">
        <v>4880</v>
      </c>
    </row>
    <row r="9" spans="1:13" x14ac:dyDescent="0.25">
      <c r="A9" s="3" t="s">
        <v>11</v>
      </c>
      <c r="B9" s="3" t="s">
        <v>21</v>
      </c>
      <c r="C9" s="3" t="s">
        <v>29</v>
      </c>
      <c r="D9" s="3" t="s">
        <v>37</v>
      </c>
      <c r="E9" s="3">
        <v>79</v>
      </c>
      <c r="F9" s="3">
        <v>5925</v>
      </c>
    </row>
    <row r="10" spans="1:13" x14ac:dyDescent="0.25">
      <c r="A10" s="3" t="s">
        <v>14</v>
      </c>
      <c r="B10" s="3" t="s">
        <v>24</v>
      </c>
      <c r="C10" s="3" t="s">
        <v>29</v>
      </c>
      <c r="D10" s="3" t="s">
        <v>37</v>
      </c>
      <c r="E10" s="3">
        <v>76</v>
      </c>
      <c r="F10" s="3">
        <v>4712</v>
      </c>
    </row>
    <row r="11" spans="1:13" x14ac:dyDescent="0.25">
      <c r="A11" s="3" t="s">
        <v>15</v>
      </c>
      <c r="B11" s="3" t="s">
        <v>25</v>
      </c>
      <c r="C11" s="3" t="s">
        <v>29</v>
      </c>
      <c r="D11" s="3" t="s">
        <v>37</v>
      </c>
      <c r="E11" s="3">
        <v>94</v>
      </c>
      <c r="F11" s="3">
        <v>6298</v>
      </c>
    </row>
  </sheetData>
  <sortState xmlns:xlrd2="http://schemas.microsoft.com/office/spreadsheetml/2017/richdata2" ref="A2:H11">
    <sortCondition ref="C1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6"/>
  <sheetViews>
    <sheetView workbookViewId="0">
      <selection activeCell="K2" sqref="K2:K5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bestFit="1" customWidth="1"/>
    <col min="5" max="5" width="17.28515625" bestFit="1" customWidth="1"/>
    <col min="6" max="6" width="12.5703125" bestFit="1" customWidth="1"/>
    <col min="7" max="7" width="19.42578125" bestFit="1" customWidth="1"/>
    <col min="8" max="8" width="17.42578125" bestFit="1" customWidth="1"/>
    <col min="11" max="11" width="11.140625" bestFit="1" customWidth="1"/>
    <col min="12" max="12" width="19.42578125" bestFit="1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45</v>
      </c>
      <c r="K1" s="2" t="s">
        <v>2</v>
      </c>
      <c r="L1" s="2" t="s">
        <v>43</v>
      </c>
      <c r="M1" s="2" t="s">
        <v>45</v>
      </c>
    </row>
    <row r="2" spans="1:13" x14ac:dyDescent="0.25">
      <c r="A2" s="3" t="s">
        <v>7</v>
      </c>
      <c r="B2" s="3" t="s">
        <v>17</v>
      </c>
      <c r="C2" s="3" t="s">
        <v>26</v>
      </c>
      <c r="D2" s="3" t="s">
        <v>38</v>
      </c>
      <c r="E2" s="3">
        <v>98</v>
      </c>
      <c r="F2" s="3">
        <v>6272</v>
      </c>
      <c r="G2" s="3">
        <f>AVERAGE(E:E)</f>
        <v>83.8</v>
      </c>
      <c r="H2" s="3">
        <f>SUM(F:F)</f>
        <v>52643</v>
      </c>
      <c r="K2" s="3" t="s">
        <v>26</v>
      </c>
      <c r="L2" s="3">
        <f>AVERAGE(E2:E3)</f>
        <v>84.5</v>
      </c>
      <c r="M2" s="3">
        <f>SUM(F2:F3)</f>
        <v>11384</v>
      </c>
    </row>
    <row r="3" spans="1:13" x14ac:dyDescent="0.25">
      <c r="A3" s="3" t="s">
        <v>8</v>
      </c>
      <c r="B3" s="3" t="s">
        <v>18</v>
      </c>
      <c r="C3" s="3" t="s">
        <v>26</v>
      </c>
      <c r="D3" s="3" t="s">
        <v>38</v>
      </c>
      <c r="E3" s="3">
        <v>71</v>
      </c>
      <c r="F3" s="3">
        <v>5112</v>
      </c>
      <c r="K3" s="3" t="s">
        <v>28</v>
      </c>
      <c r="L3" s="3">
        <f>AVERAGE(E4:E7)</f>
        <v>80</v>
      </c>
      <c r="M3" s="3">
        <f>SUM(F4:F7)</f>
        <v>19431</v>
      </c>
    </row>
    <row r="4" spans="1:13" x14ac:dyDescent="0.25">
      <c r="A4" s="3" t="s">
        <v>11</v>
      </c>
      <c r="B4" s="3" t="s">
        <v>21</v>
      </c>
      <c r="C4" s="3" t="s">
        <v>28</v>
      </c>
      <c r="D4" s="3" t="s">
        <v>38</v>
      </c>
      <c r="E4" s="3">
        <v>74</v>
      </c>
      <c r="F4" s="3">
        <v>5328</v>
      </c>
      <c r="K4" s="3" t="s">
        <v>27</v>
      </c>
      <c r="L4" s="3">
        <f>AVERAGE(E8:E9)</f>
        <v>83</v>
      </c>
      <c r="M4" s="3">
        <f>SUM(F8:F9)</f>
        <v>12360</v>
      </c>
    </row>
    <row r="5" spans="1:13" x14ac:dyDescent="0.25">
      <c r="A5" s="3" t="s">
        <v>12</v>
      </c>
      <c r="B5" s="3" t="s">
        <v>22</v>
      </c>
      <c r="C5" s="3" t="s">
        <v>28</v>
      </c>
      <c r="D5" s="3" t="s">
        <v>38</v>
      </c>
      <c r="E5" s="3">
        <v>76</v>
      </c>
      <c r="F5" s="3">
        <v>3268</v>
      </c>
      <c r="K5" s="3" t="s">
        <v>29</v>
      </c>
      <c r="L5" s="3">
        <f>AVERAGE(E10:E11)</f>
        <v>91.5</v>
      </c>
      <c r="M5" s="3">
        <f>SUM(F10:F11)</f>
        <v>9468</v>
      </c>
    </row>
    <row r="6" spans="1:13" x14ac:dyDescent="0.25">
      <c r="A6" s="3" t="s">
        <v>14</v>
      </c>
      <c r="B6" s="3" t="s">
        <v>24</v>
      </c>
      <c r="C6" s="3" t="s">
        <v>28</v>
      </c>
      <c r="D6" s="3" t="s">
        <v>38</v>
      </c>
      <c r="E6" s="3">
        <v>93</v>
      </c>
      <c r="F6" s="3">
        <v>6138</v>
      </c>
    </row>
    <row r="7" spans="1:13" x14ac:dyDescent="0.25">
      <c r="A7" s="3" t="s">
        <v>15</v>
      </c>
      <c r="B7" s="3" t="s">
        <v>25</v>
      </c>
      <c r="C7" s="3" t="s">
        <v>28</v>
      </c>
      <c r="D7" s="3" t="s">
        <v>38</v>
      </c>
      <c r="E7" s="3">
        <v>77</v>
      </c>
      <c r="F7" s="3">
        <v>4697</v>
      </c>
    </row>
    <row r="8" spans="1:13" x14ac:dyDescent="0.25">
      <c r="A8" s="3" t="s">
        <v>6</v>
      </c>
      <c r="B8" s="3" t="s">
        <v>16</v>
      </c>
      <c r="C8" s="3" t="s">
        <v>27</v>
      </c>
      <c r="D8" s="3" t="s">
        <v>38</v>
      </c>
      <c r="E8" s="3">
        <v>74</v>
      </c>
      <c r="F8" s="3">
        <v>5920</v>
      </c>
    </row>
    <row r="9" spans="1:13" x14ac:dyDescent="0.25">
      <c r="A9" s="3" t="s">
        <v>13</v>
      </c>
      <c r="B9" s="3" t="s">
        <v>23</v>
      </c>
      <c r="C9" s="3" t="s">
        <v>27</v>
      </c>
      <c r="D9" s="3" t="s">
        <v>38</v>
      </c>
      <c r="E9" s="3">
        <v>92</v>
      </c>
      <c r="F9" s="3">
        <v>6440</v>
      </c>
    </row>
    <row r="10" spans="1:13" x14ac:dyDescent="0.25">
      <c r="A10" s="3" t="s">
        <v>9</v>
      </c>
      <c r="B10" s="3" t="s">
        <v>19</v>
      </c>
      <c r="C10" s="3" t="s">
        <v>29</v>
      </c>
      <c r="D10" s="3" t="s">
        <v>38</v>
      </c>
      <c r="E10" s="3">
        <v>84</v>
      </c>
      <c r="F10" s="3">
        <v>3528</v>
      </c>
    </row>
    <row r="11" spans="1:13" x14ac:dyDescent="0.25">
      <c r="A11" s="3" t="s">
        <v>10</v>
      </c>
      <c r="B11" s="3" t="s">
        <v>20</v>
      </c>
      <c r="C11" s="3" t="s">
        <v>29</v>
      </c>
      <c r="D11" s="3" t="s">
        <v>38</v>
      </c>
      <c r="E11" s="3">
        <v>99</v>
      </c>
      <c r="F11" s="3">
        <v>5940</v>
      </c>
    </row>
    <row r="26" spans="8:8" x14ac:dyDescent="0.25">
      <c r="H26">
        <f>G32</f>
        <v>0</v>
      </c>
    </row>
  </sheetData>
  <sortState xmlns:xlrd2="http://schemas.microsoft.com/office/spreadsheetml/2017/richdata2" ref="A2:H11">
    <sortCondition ref="C1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workbookViewId="0">
      <selection activeCell="K2" sqref="K2:K6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bestFit="1" customWidth="1"/>
    <col min="5" max="5" width="17.28515625" bestFit="1" customWidth="1"/>
    <col min="6" max="6" width="12.5703125" bestFit="1" customWidth="1"/>
    <col min="7" max="7" width="19.42578125" bestFit="1" customWidth="1"/>
    <col min="8" max="8" width="17.42578125" bestFit="1" customWidth="1"/>
    <col min="11" max="11" width="11.140625" bestFit="1" customWidth="1"/>
    <col min="12" max="12" width="19.42578125" bestFit="1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45</v>
      </c>
      <c r="K1" s="2" t="s">
        <v>2</v>
      </c>
      <c r="L1" s="2" t="s">
        <v>43</v>
      </c>
      <c r="M1" s="2" t="s">
        <v>45</v>
      </c>
    </row>
    <row r="2" spans="1:13" x14ac:dyDescent="0.25">
      <c r="A2" s="3" t="s">
        <v>11</v>
      </c>
      <c r="B2" s="3" t="s">
        <v>21</v>
      </c>
      <c r="C2" s="3" t="s">
        <v>30</v>
      </c>
      <c r="D2" s="3" t="s">
        <v>39</v>
      </c>
      <c r="E2" s="3">
        <v>86</v>
      </c>
      <c r="F2" s="3">
        <v>5332</v>
      </c>
      <c r="G2" s="3">
        <f>AVERAGE(E:E)</f>
        <v>82.4</v>
      </c>
      <c r="H2" s="3">
        <f>SUM(F:F)</f>
        <v>53499</v>
      </c>
      <c r="K2" s="3" t="s">
        <v>30</v>
      </c>
      <c r="L2" s="3">
        <f>AVERAGE(E2)</f>
        <v>86</v>
      </c>
      <c r="M2" s="3">
        <f>SUM(F2)</f>
        <v>5332</v>
      </c>
    </row>
    <row r="3" spans="1:13" x14ac:dyDescent="0.25">
      <c r="A3" s="3" t="s">
        <v>9</v>
      </c>
      <c r="B3" s="3" t="s">
        <v>19</v>
      </c>
      <c r="C3" s="3" t="s">
        <v>26</v>
      </c>
      <c r="D3" s="3" t="s">
        <v>39</v>
      </c>
      <c r="E3" s="3">
        <v>84</v>
      </c>
      <c r="F3" s="3">
        <v>4956</v>
      </c>
      <c r="K3" s="3" t="s">
        <v>26</v>
      </c>
      <c r="L3" s="3">
        <f>AVERAGE(E3)</f>
        <v>84</v>
      </c>
      <c r="M3" s="3">
        <f>SUM(F3)</f>
        <v>4956</v>
      </c>
    </row>
    <row r="4" spans="1:13" x14ac:dyDescent="0.25">
      <c r="A4" s="3" t="s">
        <v>14</v>
      </c>
      <c r="B4" s="3" t="s">
        <v>24</v>
      </c>
      <c r="C4" s="3" t="s">
        <v>28</v>
      </c>
      <c r="D4" s="3" t="s">
        <v>39</v>
      </c>
      <c r="E4" s="3">
        <v>75</v>
      </c>
      <c r="F4" s="3">
        <v>6000</v>
      </c>
      <c r="K4" s="3" t="s">
        <v>28</v>
      </c>
      <c r="L4" s="3">
        <f>AVERAGE(E4)</f>
        <v>75</v>
      </c>
      <c r="M4" s="3">
        <f>SUM(F4)</f>
        <v>6000</v>
      </c>
    </row>
    <row r="5" spans="1:13" x14ac:dyDescent="0.25">
      <c r="A5" s="3" t="s">
        <v>7</v>
      </c>
      <c r="B5" s="3" t="s">
        <v>17</v>
      </c>
      <c r="C5" s="3" t="s">
        <v>27</v>
      </c>
      <c r="D5" s="3" t="s">
        <v>39</v>
      </c>
      <c r="E5" s="3">
        <v>99</v>
      </c>
      <c r="F5" s="3">
        <v>6138</v>
      </c>
      <c r="K5" s="3" t="s">
        <v>27</v>
      </c>
      <c r="L5" s="3">
        <f>AVERAGE(E5:E8)</f>
        <v>82.75</v>
      </c>
      <c r="M5" s="3">
        <f>SUM(F5:F8)</f>
        <v>19963</v>
      </c>
    </row>
    <row r="6" spans="1:13" x14ac:dyDescent="0.25">
      <c r="A6" s="3" t="s">
        <v>8</v>
      </c>
      <c r="B6" s="3" t="s">
        <v>18</v>
      </c>
      <c r="C6" s="3" t="s">
        <v>27</v>
      </c>
      <c r="D6" s="3" t="s">
        <v>39</v>
      </c>
      <c r="E6" s="3">
        <v>84</v>
      </c>
      <c r="F6" s="3">
        <v>4956</v>
      </c>
      <c r="K6" s="3" t="s">
        <v>29</v>
      </c>
      <c r="L6" s="3">
        <f>AVERAGE(E9:E11)</f>
        <v>82.666666666666671</v>
      </c>
      <c r="M6" s="3">
        <f>SUM(F9:F11)</f>
        <v>17248</v>
      </c>
    </row>
    <row r="7" spans="1:13" x14ac:dyDescent="0.25">
      <c r="A7" s="3" t="s">
        <v>12</v>
      </c>
      <c r="B7" s="3" t="s">
        <v>22</v>
      </c>
      <c r="C7" s="3" t="s">
        <v>27</v>
      </c>
      <c r="D7" s="3" t="s">
        <v>39</v>
      </c>
      <c r="E7" s="3">
        <v>77</v>
      </c>
      <c r="F7" s="3">
        <v>5390</v>
      </c>
    </row>
    <row r="8" spans="1:13" x14ac:dyDescent="0.25">
      <c r="A8" s="3" t="s">
        <v>15</v>
      </c>
      <c r="B8" s="3" t="s">
        <v>25</v>
      </c>
      <c r="C8" s="3" t="s">
        <v>27</v>
      </c>
      <c r="D8" s="3" t="s">
        <v>39</v>
      </c>
      <c r="E8" s="3">
        <v>71</v>
      </c>
      <c r="F8" s="3">
        <v>3479</v>
      </c>
    </row>
    <row r="9" spans="1:13" x14ac:dyDescent="0.25">
      <c r="A9" s="3" t="s">
        <v>6</v>
      </c>
      <c r="B9" s="3" t="s">
        <v>16</v>
      </c>
      <c r="C9" s="3" t="s">
        <v>29</v>
      </c>
      <c r="D9" s="3" t="s">
        <v>39</v>
      </c>
      <c r="E9" s="3">
        <v>83</v>
      </c>
      <c r="F9" s="3">
        <v>5976</v>
      </c>
    </row>
    <row r="10" spans="1:13" x14ac:dyDescent="0.25">
      <c r="A10" s="3" t="s">
        <v>10</v>
      </c>
      <c r="B10" s="3" t="s">
        <v>20</v>
      </c>
      <c r="C10" s="3" t="s">
        <v>29</v>
      </c>
      <c r="D10" s="3" t="s">
        <v>39</v>
      </c>
      <c r="E10" s="3">
        <v>71</v>
      </c>
      <c r="F10" s="3">
        <v>5538</v>
      </c>
    </row>
    <row r="11" spans="1:13" x14ac:dyDescent="0.25">
      <c r="A11" s="3" t="s">
        <v>13</v>
      </c>
      <c r="B11" s="3" t="s">
        <v>23</v>
      </c>
      <c r="C11" s="3" t="s">
        <v>29</v>
      </c>
      <c r="D11" s="3" t="s">
        <v>39</v>
      </c>
      <c r="E11" s="3">
        <v>94</v>
      </c>
      <c r="F11" s="3">
        <v>5734</v>
      </c>
    </row>
  </sheetData>
  <sortState xmlns:xlrd2="http://schemas.microsoft.com/office/spreadsheetml/2017/richdata2" ref="A2:H11">
    <sortCondition ref="C1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"/>
  <sheetViews>
    <sheetView workbookViewId="0">
      <selection activeCell="K2" sqref="K2:K5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bestFit="1" customWidth="1"/>
    <col min="5" max="5" width="17.28515625" bestFit="1" customWidth="1"/>
    <col min="6" max="6" width="12.5703125" bestFit="1" customWidth="1"/>
    <col min="7" max="7" width="19.42578125" bestFit="1" customWidth="1"/>
    <col min="8" max="8" width="17.42578125" bestFit="1" customWidth="1"/>
    <col min="11" max="11" width="11.140625" bestFit="1" customWidth="1"/>
    <col min="12" max="12" width="19.42578125" bestFit="1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45</v>
      </c>
      <c r="K1" s="2" t="s">
        <v>2</v>
      </c>
      <c r="L1" s="2" t="s">
        <v>43</v>
      </c>
      <c r="M1" s="2" t="s">
        <v>45</v>
      </c>
    </row>
    <row r="2" spans="1:13" x14ac:dyDescent="0.25">
      <c r="A2" s="3" t="s">
        <v>7</v>
      </c>
      <c r="B2" s="3" t="s">
        <v>17</v>
      </c>
      <c r="C2" s="3" t="s">
        <v>30</v>
      </c>
      <c r="D2" s="3" t="s">
        <v>40</v>
      </c>
      <c r="E2" s="3">
        <v>80</v>
      </c>
      <c r="F2" s="3">
        <v>3600</v>
      </c>
      <c r="G2" s="3">
        <f>AVERAGE(E:E)</f>
        <v>82.9</v>
      </c>
      <c r="H2" s="3">
        <f>SUM(F:F)</f>
        <v>45997</v>
      </c>
      <c r="K2" s="3" t="s">
        <v>30</v>
      </c>
      <c r="L2" s="3">
        <f>AVERAGE(E2:E6)</f>
        <v>84.6</v>
      </c>
      <c r="M2" s="3">
        <f>SUM(F2:F6)</f>
        <v>23290</v>
      </c>
    </row>
    <row r="3" spans="1:13" x14ac:dyDescent="0.25">
      <c r="A3" s="3" t="s">
        <v>8</v>
      </c>
      <c r="B3" s="3" t="s">
        <v>18</v>
      </c>
      <c r="C3" s="3" t="s">
        <v>30</v>
      </c>
      <c r="D3" s="3" t="s">
        <v>40</v>
      </c>
      <c r="E3" s="3">
        <v>86</v>
      </c>
      <c r="F3" s="3">
        <v>4644</v>
      </c>
      <c r="K3" s="3" t="s">
        <v>28</v>
      </c>
      <c r="L3" s="3">
        <f>AVERAGE(E7)</f>
        <v>81</v>
      </c>
      <c r="M3" s="3">
        <f>SUM(F7)</f>
        <v>3483</v>
      </c>
    </row>
    <row r="4" spans="1:13" x14ac:dyDescent="0.25">
      <c r="A4" s="3" t="s">
        <v>11</v>
      </c>
      <c r="B4" s="3" t="s">
        <v>21</v>
      </c>
      <c r="C4" s="3" t="s">
        <v>30</v>
      </c>
      <c r="D4" s="3" t="s">
        <v>40</v>
      </c>
      <c r="E4" s="3">
        <v>98</v>
      </c>
      <c r="F4" s="3">
        <v>4018</v>
      </c>
      <c r="K4" s="3" t="s">
        <v>27</v>
      </c>
      <c r="L4" s="3">
        <f>AVERAGE(E8:E9)</f>
        <v>83</v>
      </c>
      <c r="M4" s="3">
        <f>SUM(F8:F9)</f>
        <v>10658</v>
      </c>
    </row>
    <row r="5" spans="1:13" x14ac:dyDescent="0.25">
      <c r="A5" s="3" t="s">
        <v>13</v>
      </c>
      <c r="B5" s="3" t="s">
        <v>23</v>
      </c>
      <c r="C5" s="3" t="s">
        <v>30</v>
      </c>
      <c r="D5" s="3" t="s">
        <v>40</v>
      </c>
      <c r="E5" s="3">
        <v>73</v>
      </c>
      <c r="F5" s="3">
        <v>4234</v>
      </c>
      <c r="K5" s="3" t="s">
        <v>29</v>
      </c>
      <c r="L5" s="3">
        <f>AVERAGE(E10:E11)</f>
        <v>79.5</v>
      </c>
      <c r="M5" s="3">
        <f>SUM(F10:F11)</f>
        <v>8566</v>
      </c>
    </row>
    <row r="6" spans="1:13" x14ac:dyDescent="0.25">
      <c r="A6" s="3" t="s">
        <v>14</v>
      </c>
      <c r="B6" s="3" t="s">
        <v>24</v>
      </c>
      <c r="C6" s="3" t="s">
        <v>30</v>
      </c>
      <c r="D6" s="3" t="s">
        <v>40</v>
      </c>
      <c r="E6" s="3">
        <v>86</v>
      </c>
      <c r="F6" s="3">
        <v>6794</v>
      </c>
    </row>
    <row r="7" spans="1:13" x14ac:dyDescent="0.25">
      <c r="A7" s="3" t="s">
        <v>12</v>
      </c>
      <c r="B7" s="3" t="s">
        <v>22</v>
      </c>
      <c r="C7" s="3" t="s">
        <v>28</v>
      </c>
      <c r="D7" s="3" t="s">
        <v>40</v>
      </c>
      <c r="E7" s="3">
        <v>81</v>
      </c>
      <c r="F7" s="3">
        <v>3483</v>
      </c>
    </row>
    <row r="8" spans="1:13" x14ac:dyDescent="0.25">
      <c r="A8" s="3" t="s">
        <v>6</v>
      </c>
      <c r="B8" s="3" t="s">
        <v>16</v>
      </c>
      <c r="C8" s="3" t="s">
        <v>27</v>
      </c>
      <c r="D8" s="3" t="s">
        <v>40</v>
      </c>
      <c r="E8" s="3">
        <v>96</v>
      </c>
      <c r="F8" s="3">
        <v>6528</v>
      </c>
    </row>
    <row r="9" spans="1:13" x14ac:dyDescent="0.25">
      <c r="A9" s="3" t="s">
        <v>9</v>
      </c>
      <c r="B9" s="3" t="s">
        <v>19</v>
      </c>
      <c r="C9" s="3" t="s">
        <v>27</v>
      </c>
      <c r="D9" s="3" t="s">
        <v>40</v>
      </c>
      <c r="E9" s="3">
        <v>70</v>
      </c>
      <c r="F9" s="3">
        <v>4130</v>
      </c>
    </row>
    <row r="10" spans="1:13" x14ac:dyDescent="0.25">
      <c r="A10" s="3" t="s">
        <v>10</v>
      </c>
      <c r="B10" s="3" t="s">
        <v>20</v>
      </c>
      <c r="C10" s="3" t="s">
        <v>29</v>
      </c>
      <c r="D10" s="3" t="s">
        <v>40</v>
      </c>
      <c r="E10" s="3">
        <v>76</v>
      </c>
      <c r="F10" s="3">
        <v>3420</v>
      </c>
    </row>
    <row r="11" spans="1:13" x14ac:dyDescent="0.25">
      <c r="A11" s="3" t="s">
        <v>15</v>
      </c>
      <c r="B11" s="3" t="s">
        <v>25</v>
      </c>
      <c r="C11" s="3" t="s">
        <v>29</v>
      </c>
      <c r="D11" s="3" t="s">
        <v>40</v>
      </c>
      <c r="E11" s="3">
        <v>83</v>
      </c>
      <c r="F11" s="3">
        <v>5146</v>
      </c>
    </row>
  </sheetData>
  <sortState xmlns:xlrd2="http://schemas.microsoft.com/office/spreadsheetml/2017/richdata2" ref="A2:H11">
    <sortCondition ref="C1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>
      <selection activeCell="K2" sqref="K2:K5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bestFit="1" customWidth="1"/>
    <col min="5" max="5" width="17.28515625" bestFit="1" customWidth="1"/>
    <col min="6" max="6" width="12.5703125" bestFit="1" customWidth="1"/>
    <col min="7" max="7" width="19.42578125" bestFit="1" customWidth="1"/>
    <col min="8" max="8" width="10.85546875" bestFit="1" customWidth="1"/>
    <col min="11" max="11" width="11.140625" bestFit="1" customWidth="1"/>
    <col min="12" max="12" width="19.42578125" bestFit="1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43</v>
      </c>
      <c r="H1" s="5" t="s">
        <v>44</v>
      </c>
      <c r="K1" s="2" t="s">
        <v>2</v>
      </c>
      <c r="L1" s="2" t="s">
        <v>43</v>
      </c>
      <c r="M1" s="2" t="s">
        <v>45</v>
      </c>
    </row>
    <row r="2" spans="1:13" x14ac:dyDescent="0.25">
      <c r="A2" s="3" t="s">
        <v>6</v>
      </c>
      <c r="B2" s="3" t="s">
        <v>16</v>
      </c>
      <c r="C2" s="3" t="s">
        <v>30</v>
      </c>
      <c r="D2" s="3" t="s">
        <v>41</v>
      </c>
      <c r="E2" s="6">
        <v>93</v>
      </c>
      <c r="F2" s="3">
        <v>4092</v>
      </c>
      <c r="G2" s="7">
        <f>AVERAGE(E:E)</f>
        <v>87.5</v>
      </c>
      <c r="H2" s="3">
        <f>SUM(F:F)</f>
        <v>49440</v>
      </c>
      <c r="K2" s="3" t="s">
        <v>30</v>
      </c>
      <c r="L2" s="3">
        <f>AVERAGE(E2:E4)</f>
        <v>85</v>
      </c>
      <c r="M2" s="3">
        <f>SUM(F2:F4)</f>
        <v>15849</v>
      </c>
    </row>
    <row r="3" spans="1:13" x14ac:dyDescent="0.25">
      <c r="A3" s="3" t="s">
        <v>11</v>
      </c>
      <c r="B3" s="3" t="s">
        <v>21</v>
      </c>
      <c r="C3" s="3" t="s">
        <v>30</v>
      </c>
      <c r="D3" s="3" t="s">
        <v>41</v>
      </c>
      <c r="E3" s="6">
        <v>85</v>
      </c>
      <c r="F3" s="3">
        <v>6290</v>
      </c>
      <c r="K3" s="3" t="s">
        <v>26</v>
      </c>
      <c r="L3" s="3">
        <f>AVERAGE(E5:E6)</f>
        <v>91.5</v>
      </c>
      <c r="M3" s="3">
        <f>SUM(F5:F6)</f>
        <v>10536</v>
      </c>
    </row>
    <row r="4" spans="1:13" x14ac:dyDescent="0.25">
      <c r="A4" s="3" t="s">
        <v>15</v>
      </c>
      <c r="B4" s="3" t="s">
        <v>25</v>
      </c>
      <c r="C4" s="3" t="s">
        <v>30</v>
      </c>
      <c r="D4" s="3" t="s">
        <v>41</v>
      </c>
      <c r="E4" s="6">
        <v>77</v>
      </c>
      <c r="F4" s="3">
        <v>5467</v>
      </c>
      <c r="K4" s="3" t="s">
        <v>27</v>
      </c>
      <c r="L4" s="3">
        <f>AVERAGE(E7:E8)</f>
        <v>81</v>
      </c>
      <c r="M4" s="3">
        <f>SUM(F7:F8)</f>
        <v>9107</v>
      </c>
    </row>
    <row r="5" spans="1:13" x14ac:dyDescent="0.25">
      <c r="A5" s="3" t="s">
        <v>10</v>
      </c>
      <c r="B5" s="3" t="s">
        <v>20</v>
      </c>
      <c r="C5" s="3" t="s">
        <v>26</v>
      </c>
      <c r="D5" s="3" t="s">
        <v>41</v>
      </c>
      <c r="E5" s="6">
        <v>91</v>
      </c>
      <c r="F5" s="3">
        <v>4004</v>
      </c>
      <c r="K5" s="3" t="s">
        <v>29</v>
      </c>
      <c r="L5" s="3">
        <f>AVERAGE(E9:E11)</f>
        <v>91.666666666666671</v>
      </c>
      <c r="M5" s="3">
        <f>SUM(F9:F11)</f>
        <v>13948</v>
      </c>
    </row>
    <row r="6" spans="1:13" x14ac:dyDescent="0.25">
      <c r="A6" s="3" t="s">
        <v>12</v>
      </c>
      <c r="B6" s="3" t="s">
        <v>22</v>
      </c>
      <c r="C6" s="3" t="s">
        <v>26</v>
      </c>
      <c r="D6" s="3" t="s">
        <v>41</v>
      </c>
      <c r="E6" s="6">
        <v>92</v>
      </c>
      <c r="F6" s="3">
        <v>6532</v>
      </c>
    </row>
    <row r="7" spans="1:13" x14ac:dyDescent="0.25">
      <c r="A7" s="3" t="s">
        <v>9</v>
      </c>
      <c r="B7" s="3" t="s">
        <v>19</v>
      </c>
      <c r="C7" s="3" t="s">
        <v>27</v>
      </c>
      <c r="D7" s="3" t="s">
        <v>41</v>
      </c>
      <c r="E7" s="6">
        <v>85</v>
      </c>
      <c r="F7" s="3">
        <v>5950</v>
      </c>
    </row>
    <row r="8" spans="1:13" x14ac:dyDescent="0.25">
      <c r="A8" s="3" t="s">
        <v>13</v>
      </c>
      <c r="B8" s="3" t="s">
        <v>23</v>
      </c>
      <c r="C8" s="3" t="s">
        <v>27</v>
      </c>
      <c r="D8" s="3" t="s">
        <v>41</v>
      </c>
      <c r="E8" s="6">
        <v>77</v>
      </c>
      <c r="F8" s="3">
        <v>3157</v>
      </c>
    </row>
    <row r="9" spans="1:13" x14ac:dyDescent="0.25">
      <c r="A9" s="3" t="s">
        <v>7</v>
      </c>
      <c r="B9" s="3" t="s">
        <v>17</v>
      </c>
      <c r="C9" s="3" t="s">
        <v>29</v>
      </c>
      <c r="D9" s="3" t="s">
        <v>41</v>
      </c>
      <c r="E9" s="6">
        <v>92</v>
      </c>
      <c r="F9" s="3">
        <v>4600</v>
      </c>
    </row>
    <row r="10" spans="1:13" x14ac:dyDescent="0.25">
      <c r="A10" s="3" t="s">
        <v>8</v>
      </c>
      <c r="B10" s="3" t="s">
        <v>18</v>
      </c>
      <c r="C10" s="3" t="s">
        <v>29</v>
      </c>
      <c r="D10" s="3" t="s">
        <v>41</v>
      </c>
      <c r="E10" s="6">
        <v>96</v>
      </c>
      <c r="F10" s="3">
        <v>4128</v>
      </c>
    </row>
    <row r="11" spans="1:13" x14ac:dyDescent="0.25">
      <c r="A11" s="3" t="s">
        <v>14</v>
      </c>
      <c r="B11" s="3" t="s">
        <v>24</v>
      </c>
      <c r="C11" s="3" t="s">
        <v>29</v>
      </c>
      <c r="D11" s="3" t="s">
        <v>41</v>
      </c>
      <c r="E11" s="6">
        <v>87</v>
      </c>
      <c r="F11" s="3">
        <v>5220</v>
      </c>
    </row>
  </sheetData>
  <sortState xmlns:xlrd2="http://schemas.microsoft.com/office/spreadsheetml/2017/richdata2" ref="A2:H11">
    <sortCondition ref="C1"/>
  </sortState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1"/>
  <sheetViews>
    <sheetView workbookViewId="0">
      <selection activeCell="M6" sqref="M6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1.140625" bestFit="1" customWidth="1"/>
    <col min="4" max="4" width="6.7109375" bestFit="1" customWidth="1"/>
    <col min="5" max="5" width="17.28515625" bestFit="1" customWidth="1"/>
    <col min="6" max="6" width="12.5703125" bestFit="1" customWidth="1"/>
    <col min="7" max="7" width="19.42578125" bestFit="1" customWidth="1"/>
    <col min="8" max="8" width="10.85546875" bestFit="1" customWidth="1"/>
    <col min="11" max="11" width="11.140625" bestFit="1" customWidth="1"/>
    <col min="12" max="12" width="19.42578125" bestFit="1" customWidth="1"/>
    <col min="13" max="13" width="17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43</v>
      </c>
      <c r="H1" s="5" t="s">
        <v>44</v>
      </c>
      <c r="K1" s="2" t="s">
        <v>2</v>
      </c>
      <c r="L1" s="2" t="s">
        <v>43</v>
      </c>
      <c r="M1" s="2" t="s">
        <v>45</v>
      </c>
    </row>
    <row r="2" spans="1:13" x14ac:dyDescent="0.25">
      <c r="A2" s="3" t="s">
        <v>11</v>
      </c>
      <c r="B2" s="3" t="s">
        <v>21</v>
      </c>
      <c r="C2" s="3" t="s">
        <v>30</v>
      </c>
      <c r="D2" s="3" t="s">
        <v>42</v>
      </c>
      <c r="E2" s="3">
        <v>71</v>
      </c>
      <c r="F2" s="3">
        <v>3834</v>
      </c>
      <c r="G2" s="3">
        <f>AVERAGE(E:E)</f>
        <v>79.400000000000006</v>
      </c>
      <c r="H2" s="3">
        <f>SUM(F:F)</f>
        <v>46637</v>
      </c>
      <c r="K2" s="3" t="s">
        <v>30</v>
      </c>
      <c r="L2" s="3">
        <f>AVERAGE(E2:E3)</f>
        <v>73</v>
      </c>
      <c r="M2" s="3">
        <f>SUM(F2:F3)</f>
        <v>9609</v>
      </c>
    </row>
    <row r="3" spans="1:13" x14ac:dyDescent="0.25">
      <c r="A3" s="3" t="s">
        <v>14</v>
      </c>
      <c r="B3" s="3" t="s">
        <v>24</v>
      </c>
      <c r="C3" s="3" t="s">
        <v>30</v>
      </c>
      <c r="D3" s="3" t="s">
        <v>42</v>
      </c>
      <c r="E3" s="3">
        <v>75</v>
      </c>
      <c r="F3" s="3">
        <v>5775</v>
      </c>
      <c r="K3" s="3" t="s">
        <v>26</v>
      </c>
      <c r="L3" s="3">
        <f>AVERAGE(E4)</f>
        <v>73</v>
      </c>
      <c r="M3" s="3">
        <f>SUM(F4)</f>
        <v>3285</v>
      </c>
    </row>
    <row r="4" spans="1:13" x14ac:dyDescent="0.25">
      <c r="A4" s="3" t="s">
        <v>15</v>
      </c>
      <c r="B4" s="3" t="s">
        <v>25</v>
      </c>
      <c r="C4" s="3" t="s">
        <v>26</v>
      </c>
      <c r="D4" s="3" t="s">
        <v>42</v>
      </c>
      <c r="E4" s="3">
        <v>73</v>
      </c>
      <c r="F4" s="3">
        <v>3285</v>
      </c>
      <c r="K4" s="3" t="s">
        <v>28</v>
      </c>
      <c r="L4" s="3">
        <f>AVERAGE(E5:E7)</f>
        <v>79</v>
      </c>
      <c r="M4" s="3">
        <f>SUM(F5:F7)</f>
        <v>14424</v>
      </c>
    </row>
    <row r="5" spans="1:13" x14ac:dyDescent="0.25">
      <c r="A5" s="3" t="s">
        <v>7</v>
      </c>
      <c r="B5" s="3" t="s">
        <v>17</v>
      </c>
      <c r="C5" s="3" t="s">
        <v>28</v>
      </c>
      <c r="D5" s="3" t="s">
        <v>42</v>
      </c>
      <c r="E5" s="3">
        <v>87</v>
      </c>
      <c r="F5" s="3">
        <v>4524</v>
      </c>
      <c r="K5" s="3" t="s">
        <v>27</v>
      </c>
      <c r="L5" s="3">
        <f>AVERAGE(E8:E9)</f>
        <v>92.5</v>
      </c>
      <c r="M5" s="3">
        <f>SUM(F8:F9)</f>
        <v>9992</v>
      </c>
    </row>
    <row r="6" spans="1:13" x14ac:dyDescent="0.25">
      <c r="A6" s="3" t="s">
        <v>12</v>
      </c>
      <c r="B6" s="3" t="s">
        <v>22</v>
      </c>
      <c r="C6" s="3" t="s">
        <v>28</v>
      </c>
      <c r="D6" s="3" t="s">
        <v>42</v>
      </c>
      <c r="E6" s="3">
        <v>75</v>
      </c>
      <c r="F6" s="3">
        <v>5775</v>
      </c>
      <c r="K6" s="3" t="s">
        <v>29</v>
      </c>
      <c r="L6" s="3">
        <f>AVERAGE(E10:E11)</f>
        <v>76.5</v>
      </c>
      <c r="M6" s="3">
        <f>SUM(F10:F11)</f>
        <v>9327</v>
      </c>
    </row>
    <row r="7" spans="1:13" x14ac:dyDescent="0.25">
      <c r="A7" s="3" t="s">
        <v>13</v>
      </c>
      <c r="B7" s="3" t="s">
        <v>23</v>
      </c>
      <c r="C7" s="3" t="s">
        <v>28</v>
      </c>
      <c r="D7" s="3" t="s">
        <v>42</v>
      </c>
      <c r="E7" s="3">
        <v>75</v>
      </c>
      <c r="F7" s="3">
        <v>4125</v>
      </c>
    </row>
    <row r="8" spans="1:13" x14ac:dyDescent="0.25">
      <c r="A8" s="3" t="s">
        <v>9</v>
      </c>
      <c r="B8" s="3" t="s">
        <v>19</v>
      </c>
      <c r="C8" s="3" t="s">
        <v>27</v>
      </c>
      <c r="D8" s="3" t="s">
        <v>42</v>
      </c>
      <c r="E8" s="3">
        <v>89</v>
      </c>
      <c r="F8" s="3">
        <v>3560</v>
      </c>
    </row>
    <row r="9" spans="1:13" x14ac:dyDescent="0.25">
      <c r="A9" s="3" t="s">
        <v>10</v>
      </c>
      <c r="B9" s="3" t="s">
        <v>20</v>
      </c>
      <c r="C9" s="3" t="s">
        <v>27</v>
      </c>
      <c r="D9" s="3" t="s">
        <v>42</v>
      </c>
      <c r="E9" s="3">
        <v>96</v>
      </c>
      <c r="F9" s="3">
        <v>6432</v>
      </c>
    </row>
    <row r="10" spans="1:13" x14ac:dyDescent="0.25">
      <c r="A10" s="3" t="s">
        <v>6</v>
      </c>
      <c r="B10" s="3" t="s">
        <v>16</v>
      </c>
      <c r="C10" s="3" t="s">
        <v>29</v>
      </c>
      <c r="D10" s="3" t="s">
        <v>42</v>
      </c>
      <c r="E10" s="3">
        <v>71</v>
      </c>
      <c r="F10" s="3">
        <v>4899</v>
      </c>
    </row>
    <row r="11" spans="1:13" x14ac:dyDescent="0.25">
      <c r="A11" s="3" t="s">
        <v>8</v>
      </c>
      <c r="B11" s="3" t="s">
        <v>18</v>
      </c>
      <c r="C11" s="3" t="s">
        <v>29</v>
      </c>
      <c r="D11" s="3" t="s">
        <v>42</v>
      </c>
      <c r="E11" s="3">
        <v>82</v>
      </c>
      <c r="F11" s="3">
        <v>4428</v>
      </c>
    </row>
  </sheetData>
  <sortState xmlns:xlrd2="http://schemas.microsoft.com/office/spreadsheetml/2017/richdata2" ref="A2:H11">
    <sortCondition ref="C1"/>
  </sortState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7"/>
  <sheetViews>
    <sheetView tabSelected="1" workbookViewId="0">
      <selection activeCell="O4" sqref="O4"/>
    </sheetView>
  </sheetViews>
  <sheetFormatPr defaultRowHeight="15" x14ac:dyDescent="0.25"/>
  <cols>
    <col min="1" max="1" width="11.140625" bestFit="1" customWidth="1"/>
    <col min="2" max="2" width="6" bestFit="1" customWidth="1"/>
    <col min="3" max="3" width="5" bestFit="1" customWidth="1"/>
    <col min="4" max="4" width="6.42578125" bestFit="1" customWidth="1"/>
    <col min="5" max="6" width="6" bestFit="1" customWidth="1"/>
    <col min="7" max="7" width="4.85546875" bestFit="1" customWidth="1"/>
    <col min="8" max="8" width="6" bestFit="1" customWidth="1"/>
    <col min="9" max="9" width="6.85546875" bestFit="1" customWidth="1"/>
    <col min="10" max="10" width="6" bestFit="1" customWidth="1"/>
    <col min="11" max="11" width="5" bestFit="1" customWidth="1"/>
    <col min="12" max="12" width="6" bestFit="1" customWidth="1"/>
    <col min="13" max="13" width="5" bestFit="1" customWidth="1"/>
    <col min="14" max="14" width="14.42578125" bestFit="1" customWidth="1"/>
    <col min="16" max="16" width="11.140625" bestFit="1" customWidth="1"/>
    <col min="17" max="18" width="6" bestFit="1" customWidth="1"/>
    <col min="19" max="19" width="6.42578125" bestFit="1" customWidth="1"/>
    <col min="20" max="23" width="6" bestFit="1" customWidth="1"/>
    <col min="24" max="24" width="6.85546875" bestFit="1" customWidth="1"/>
    <col min="25" max="28" width="6" bestFit="1" customWidth="1"/>
    <col min="29" max="29" width="12.7109375" bestFit="1" customWidth="1"/>
  </cols>
  <sheetData>
    <row r="1" spans="1:29" ht="19.5" x14ac:dyDescent="0.3">
      <c r="A1" s="13" t="s">
        <v>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P1" s="11" t="s">
        <v>53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 x14ac:dyDescent="0.25">
      <c r="A2" s="9" t="s">
        <v>2</v>
      </c>
      <c r="B2" s="9" t="s">
        <v>31</v>
      </c>
      <c r="C2" s="9" t="s">
        <v>32</v>
      </c>
      <c r="D2" s="9" t="s">
        <v>46</v>
      </c>
      <c r="E2" s="9" t="s">
        <v>47</v>
      </c>
      <c r="F2" s="9" t="s">
        <v>35</v>
      </c>
      <c r="G2" s="9" t="s">
        <v>48</v>
      </c>
      <c r="H2" s="9" t="s">
        <v>49</v>
      </c>
      <c r="I2" s="9" t="s">
        <v>50</v>
      </c>
      <c r="J2" s="9" t="s">
        <v>51</v>
      </c>
      <c r="K2" s="9" t="s">
        <v>40</v>
      </c>
      <c r="L2" s="9" t="s">
        <v>41</v>
      </c>
      <c r="M2" s="9" t="s">
        <v>42</v>
      </c>
      <c r="N2" s="9" t="s">
        <v>54</v>
      </c>
      <c r="P2" s="9" t="s">
        <v>2</v>
      </c>
      <c r="Q2" s="9" t="s">
        <v>31</v>
      </c>
      <c r="R2" s="9" t="s">
        <v>32</v>
      </c>
      <c r="S2" s="9" t="s">
        <v>46</v>
      </c>
      <c r="T2" s="9" t="s">
        <v>47</v>
      </c>
      <c r="U2" s="9" t="s">
        <v>35</v>
      </c>
      <c r="V2" s="9" t="s">
        <v>48</v>
      </c>
      <c r="W2" s="9" t="s">
        <v>49</v>
      </c>
      <c r="X2" s="9" t="s">
        <v>50</v>
      </c>
      <c r="Y2" s="9" t="s">
        <v>51</v>
      </c>
      <c r="Z2" s="9" t="s">
        <v>40</v>
      </c>
      <c r="AA2" s="9" t="s">
        <v>41</v>
      </c>
      <c r="AB2" s="9" t="s">
        <v>42</v>
      </c>
      <c r="AC2" s="9" t="s">
        <v>55</v>
      </c>
    </row>
    <row r="3" spans="1:29" x14ac:dyDescent="0.25">
      <c r="A3" s="3" t="s">
        <v>30</v>
      </c>
      <c r="B3" s="3">
        <v>85</v>
      </c>
      <c r="C3" s="3">
        <v>89</v>
      </c>
      <c r="D3" s="3">
        <v>81.5</v>
      </c>
      <c r="E3" s="3">
        <v>92</v>
      </c>
      <c r="F3" s="3"/>
      <c r="G3" s="3"/>
      <c r="H3" s="3"/>
      <c r="I3" s="3"/>
      <c r="J3" s="3">
        <v>86</v>
      </c>
      <c r="K3" s="3">
        <v>84.6</v>
      </c>
      <c r="L3" s="3">
        <v>85</v>
      </c>
      <c r="M3" s="3">
        <v>73</v>
      </c>
      <c r="N3" s="8">
        <f>AVERAGE(B3:M3)</f>
        <v>84.512500000000003</v>
      </c>
      <c r="P3" s="3" t="s">
        <v>30</v>
      </c>
      <c r="Q3" s="3">
        <v>4250</v>
      </c>
      <c r="R3" s="3">
        <v>12084</v>
      </c>
      <c r="S3" s="3">
        <v>17684</v>
      </c>
      <c r="T3" s="10">
        <v>6256</v>
      </c>
      <c r="U3" s="3"/>
      <c r="V3" s="3"/>
      <c r="W3" s="3"/>
      <c r="X3" s="3"/>
      <c r="Y3" s="3">
        <v>5332</v>
      </c>
      <c r="Z3" s="3">
        <v>23290</v>
      </c>
      <c r="AA3" s="3">
        <v>15849</v>
      </c>
      <c r="AB3" s="3">
        <v>9606</v>
      </c>
      <c r="AC3" s="3">
        <f>SUM(Q3:AB3)</f>
        <v>94351</v>
      </c>
    </row>
    <row r="4" spans="1:29" x14ac:dyDescent="0.25">
      <c r="A4" s="3" t="s">
        <v>26</v>
      </c>
      <c r="B4" s="3">
        <v>83</v>
      </c>
      <c r="C4" s="3">
        <v>70.5</v>
      </c>
      <c r="D4" s="3">
        <v>92.33</v>
      </c>
      <c r="E4" s="3">
        <v>92.5</v>
      </c>
      <c r="F4" s="3">
        <v>77</v>
      </c>
      <c r="G4" s="3">
        <v>83</v>
      </c>
      <c r="H4" s="3"/>
      <c r="I4" s="3">
        <v>84.5</v>
      </c>
      <c r="J4" s="3">
        <v>84</v>
      </c>
      <c r="K4" s="3"/>
      <c r="L4" s="3">
        <v>91.5</v>
      </c>
      <c r="M4" s="3">
        <v>73</v>
      </c>
      <c r="N4" s="8">
        <f>AVERAGE(B4:M4)</f>
        <v>83.132999999999996</v>
      </c>
      <c r="P4" s="3" t="s">
        <v>26</v>
      </c>
      <c r="Q4" s="3">
        <v>17168</v>
      </c>
      <c r="R4" s="3">
        <v>6833</v>
      </c>
      <c r="S4" s="3">
        <v>17595</v>
      </c>
      <c r="T4" s="3">
        <v>11657</v>
      </c>
      <c r="U4" s="3">
        <v>3927</v>
      </c>
      <c r="V4" s="3">
        <v>6142</v>
      </c>
      <c r="W4" s="3"/>
      <c r="X4" s="3">
        <v>11384</v>
      </c>
      <c r="Y4" s="3">
        <v>4956</v>
      </c>
      <c r="Z4" s="3"/>
      <c r="AA4" s="3">
        <v>10536</v>
      </c>
      <c r="AB4" s="3">
        <v>3285</v>
      </c>
      <c r="AC4" s="3">
        <f>SUM(Q4:AB4)</f>
        <v>93483</v>
      </c>
    </row>
    <row r="5" spans="1:29" x14ac:dyDescent="0.25">
      <c r="A5" s="3" t="s">
        <v>28</v>
      </c>
      <c r="B5" s="3">
        <v>72.5</v>
      </c>
      <c r="C5" s="3">
        <v>82</v>
      </c>
      <c r="D5" s="3">
        <v>72</v>
      </c>
      <c r="E5" s="3">
        <v>84.5</v>
      </c>
      <c r="F5" s="3">
        <v>88.5</v>
      </c>
      <c r="G5" s="3">
        <v>89</v>
      </c>
      <c r="H5" s="3">
        <v>84.33</v>
      </c>
      <c r="I5" s="3">
        <v>80</v>
      </c>
      <c r="J5" s="3">
        <v>75</v>
      </c>
      <c r="K5" s="3">
        <v>81</v>
      </c>
      <c r="L5" s="3"/>
      <c r="M5" s="3">
        <v>79</v>
      </c>
      <c r="N5" s="8">
        <f>AVERAGE(B5:M5)</f>
        <v>80.711818181818188</v>
      </c>
      <c r="P5" s="3" t="s">
        <v>28</v>
      </c>
      <c r="Q5" s="3">
        <v>10606</v>
      </c>
      <c r="R5" s="3">
        <v>6314</v>
      </c>
      <c r="S5" s="3">
        <v>3456</v>
      </c>
      <c r="T5" s="3">
        <v>9698</v>
      </c>
      <c r="U5" s="3">
        <v>13423</v>
      </c>
      <c r="V5" s="3">
        <v>20434</v>
      </c>
      <c r="W5" s="3">
        <v>15972</v>
      </c>
      <c r="X5" s="3">
        <v>19431</v>
      </c>
      <c r="Y5" s="3">
        <v>6000</v>
      </c>
      <c r="Z5" s="3">
        <v>3483</v>
      </c>
      <c r="AA5" s="3"/>
      <c r="AB5" s="3">
        <v>14424</v>
      </c>
      <c r="AC5" s="3">
        <f>SUM(Q5:AB5)</f>
        <v>123241</v>
      </c>
    </row>
    <row r="6" spans="1:29" x14ac:dyDescent="0.25">
      <c r="A6" s="3" t="s">
        <v>27</v>
      </c>
      <c r="B6" s="3">
        <v>88.67</v>
      </c>
      <c r="C6" s="3">
        <v>81</v>
      </c>
      <c r="D6" s="3">
        <v>77</v>
      </c>
      <c r="E6" s="3">
        <v>82.5</v>
      </c>
      <c r="F6" s="3">
        <v>81.66</v>
      </c>
      <c r="G6" s="3">
        <v>84</v>
      </c>
      <c r="H6" s="3">
        <v>88</v>
      </c>
      <c r="I6" s="3">
        <v>83</v>
      </c>
      <c r="J6" s="3">
        <v>82.75</v>
      </c>
      <c r="K6" s="3">
        <v>83</v>
      </c>
      <c r="L6" s="3">
        <v>81</v>
      </c>
      <c r="M6" s="3">
        <v>92.5</v>
      </c>
      <c r="N6" s="8">
        <f>AVERAGE(B6:M6)</f>
        <v>83.756666666666675</v>
      </c>
      <c r="P6" s="3" t="s">
        <v>27</v>
      </c>
      <c r="Q6" s="3">
        <v>15463</v>
      </c>
      <c r="R6" s="3">
        <v>19084</v>
      </c>
      <c r="S6" s="3">
        <v>3773</v>
      </c>
      <c r="T6" s="3">
        <v>12139</v>
      </c>
      <c r="U6" s="3">
        <v>15620</v>
      </c>
      <c r="V6" s="3">
        <v>15740</v>
      </c>
      <c r="W6" s="3">
        <v>21271</v>
      </c>
      <c r="X6" s="3">
        <v>12360</v>
      </c>
      <c r="Y6" s="3">
        <v>19963</v>
      </c>
      <c r="Z6" s="3">
        <v>10658</v>
      </c>
      <c r="AA6" s="3">
        <v>9107</v>
      </c>
      <c r="AB6" s="3">
        <v>9992</v>
      </c>
      <c r="AC6" s="3">
        <f>SUM(Q6:AB6)</f>
        <v>165170</v>
      </c>
    </row>
    <row r="7" spans="1:29" x14ac:dyDescent="0.25">
      <c r="A7" s="3" t="s">
        <v>29</v>
      </c>
      <c r="B7" s="3">
        <v>86</v>
      </c>
      <c r="C7" s="3">
        <v>88</v>
      </c>
      <c r="D7" s="3">
        <v>98</v>
      </c>
      <c r="E7" s="3">
        <v>78.33</v>
      </c>
      <c r="F7" s="3">
        <v>88.5</v>
      </c>
      <c r="G7" s="3">
        <v>92</v>
      </c>
      <c r="H7" s="3">
        <v>83</v>
      </c>
      <c r="I7" s="3">
        <v>91.5</v>
      </c>
      <c r="J7" s="3">
        <v>82.66</v>
      </c>
      <c r="K7" s="3">
        <v>79.5</v>
      </c>
      <c r="L7" s="3">
        <v>91.66</v>
      </c>
      <c r="M7" s="3">
        <v>76.5</v>
      </c>
      <c r="N7" s="8">
        <f>AVERAGE(B7:M7)</f>
        <v>86.30416666666666</v>
      </c>
      <c r="P7" s="3" t="s">
        <v>29</v>
      </c>
      <c r="Q7" s="3">
        <v>6020</v>
      </c>
      <c r="R7" s="3">
        <v>5104</v>
      </c>
      <c r="S7" s="3">
        <v>6664</v>
      </c>
      <c r="T7" s="3">
        <v>13137</v>
      </c>
      <c r="U7" s="3">
        <v>24727</v>
      </c>
      <c r="V7" s="3">
        <v>8933</v>
      </c>
      <c r="W7" s="3">
        <v>16935</v>
      </c>
      <c r="X7" s="3">
        <v>9468</v>
      </c>
      <c r="Y7" s="3">
        <v>17248</v>
      </c>
      <c r="Z7" s="3">
        <v>8566</v>
      </c>
      <c r="AA7" s="3">
        <v>13948</v>
      </c>
      <c r="AB7" s="3">
        <v>9327</v>
      </c>
      <c r="AC7" s="3">
        <f>SUM(Q7:AB7)</f>
        <v>140077</v>
      </c>
    </row>
  </sheetData>
  <mergeCells count="2">
    <mergeCell ref="A1:N1"/>
    <mergeCell ref="P1:AC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4"/>
  <sheetViews>
    <sheetView workbookViewId="0">
      <selection activeCell="F56" sqref="F56"/>
    </sheetView>
  </sheetViews>
  <sheetFormatPr defaultRowHeight="15" x14ac:dyDescent="0.25"/>
  <cols>
    <col min="1" max="1" width="11.140625" bestFit="1" customWidth="1"/>
    <col min="2" max="2" width="6.7109375" bestFit="1" customWidth="1"/>
    <col min="3" max="3" width="19.42578125" bestFit="1" customWidth="1"/>
    <col min="4" max="4" width="17.42578125" bestFit="1" customWidth="1"/>
  </cols>
  <sheetData>
    <row r="1" spans="1:4" x14ac:dyDescent="0.25">
      <c r="A1" s="2" t="s">
        <v>2</v>
      </c>
      <c r="B1" s="2" t="s">
        <v>3</v>
      </c>
      <c r="C1" s="2" t="s">
        <v>43</v>
      </c>
      <c r="D1" s="2" t="s">
        <v>45</v>
      </c>
    </row>
    <row r="2" spans="1:4" x14ac:dyDescent="0.25">
      <c r="A2" s="3" t="s">
        <v>30</v>
      </c>
      <c r="B2" s="3" t="s">
        <v>31</v>
      </c>
      <c r="C2" s="3">
        <v>85</v>
      </c>
      <c r="D2" s="3">
        <v>4250</v>
      </c>
    </row>
    <row r="3" spans="1:4" x14ac:dyDescent="0.25">
      <c r="A3" s="3" t="s">
        <v>30</v>
      </c>
      <c r="B3" s="3" t="s">
        <v>32</v>
      </c>
      <c r="C3" s="3">
        <v>89</v>
      </c>
      <c r="D3" s="3">
        <v>12084</v>
      </c>
    </row>
    <row r="4" spans="1:4" x14ac:dyDescent="0.25">
      <c r="A4" s="3" t="s">
        <v>30</v>
      </c>
      <c r="B4" s="3" t="s">
        <v>46</v>
      </c>
      <c r="C4" s="3">
        <v>81.5</v>
      </c>
      <c r="D4" s="3">
        <v>17684</v>
      </c>
    </row>
    <row r="5" spans="1:4" x14ac:dyDescent="0.25">
      <c r="A5" s="3" t="s">
        <v>30</v>
      </c>
      <c r="B5" s="3" t="s">
        <v>47</v>
      </c>
      <c r="C5" s="3">
        <v>92</v>
      </c>
      <c r="D5" s="3">
        <v>6256</v>
      </c>
    </row>
    <row r="6" spans="1:4" x14ac:dyDescent="0.25">
      <c r="A6" s="3" t="s">
        <v>30</v>
      </c>
      <c r="B6" s="3" t="s">
        <v>51</v>
      </c>
      <c r="C6" s="3">
        <v>86</v>
      </c>
      <c r="D6" s="3">
        <v>5332</v>
      </c>
    </row>
    <row r="7" spans="1:4" x14ac:dyDescent="0.25">
      <c r="A7" s="3" t="s">
        <v>30</v>
      </c>
      <c r="B7" s="3" t="s">
        <v>40</v>
      </c>
      <c r="C7" s="3">
        <v>84.6</v>
      </c>
      <c r="D7" s="3">
        <v>23290</v>
      </c>
    </row>
    <row r="8" spans="1:4" x14ac:dyDescent="0.25">
      <c r="A8" s="3" t="s">
        <v>30</v>
      </c>
      <c r="B8" s="3" t="s">
        <v>41</v>
      </c>
      <c r="C8" s="3">
        <v>85</v>
      </c>
      <c r="D8" s="3">
        <v>15849</v>
      </c>
    </row>
    <row r="9" spans="1:4" x14ac:dyDescent="0.25">
      <c r="A9" s="3" t="s">
        <v>30</v>
      </c>
      <c r="B9" s="3" t="s">
        <v>42</v>
      </c>
      <c r="C9" s="3">
        <v>73</v>
      </c>
      <c r="D9" s="3">
        <v>9606</v>
      </c>
    </row>
    <row r="10" spans="1:4" x14ac:dyDescent="0.25">
      <c r="A10" s="3" t="s">
        <v>26</v>
      </c>
      <c r="B10" s="3" t="s">
        <v>31</v>
      </c>
      <c r="C10" s="3">
        <v>83</v>
      </c>
      <c r="D10" s="3">
        <v>17168</v>
      </c>
    </row>
    <row r="11" spans="1:4" x14ac:dyDescent="0.25">
      <c r="A11" s="3" t="s">
        <v>26</v>
      </c>
      <c r="B11" s="3" t="s">
        <v>32</v>
      </c>
      <c r="C11" s="3">
        <v>70.5</v>
      </c>
      <c r="D11" s="3">
        <v>6833</v>
      </c>
    </row>
    <row r="12" spans="1:4" x14ac:dyDescent="0.25">
      <c r="A12" s="3" t="s">
        <v>26</v>
      </c>
      <c r="B12" s="3" t="s">
        <v>46</v>
      </c>
      <c r="C12" s="3">
        <v>92.33</v>
      </c>
      <c r="D12" s="3">
        <v>17595</v>
      </c>
    </row>
    <row r="13" spans="1:4" x14ac:dyDescent="0.25">
      <c r="A13" s="3" t="s">
        <v>26</v>
      </c>
      <c r="B13" s="3" t="s">
        <v>47</v>
      </c>
      <c r="C13" s="3">
        <v>92.5</v>
      </c>
      <c r="D13" s="3">
        <v>11657</v>
      </c>
    </row>
    <row r="14" spans="1:4" x14ac:dyDescent="0.25">
      <c r="A14" s="3" t="s">
        <v>26</v>
      </c>
      <c r="B14" s="3" t="s">
        <v>35</v>
      </c>
      <c r="C14" s="3">
        <v>77</v>
      </c>
      <c r="D14" s="3">
        <v>3927</v>
      </c>
    </row>
    <row r="15" spans="1:4" x14ac:dyDescent="0.25">
      <c r="A15" s="3" t="s">
        <v>26</v>
      </c>
      <c r="B15" s="3" t="s">
        <v>48</v>
      </c>
      <c r="C15" s="3">
        <v>83</v>
      </c>
      <c r="D15" s="3">
        <v>6142</v>
      </c>
    </row>
    <row r="16" spans="1:4" x14ac:dyDescent="0.25">
      <c r="A16" s="3" t="s">
        <v>26</v>
      </c>
      <c r="B16" s="3" t="s">
        <v>50</v>
      </c>
      <c r="C16" s="3">
        <v>84.5</v>
      </c>
      <c r="D16" s="3">
        <v>11384</v>
      </c>
    </row>
    <row r="17" spans="1:4" x14ac:dyDescent="0.25">
      <c r="A17" s="3" t="s">
        <v>26</v>
      </c>
      <c r="B17" s="3" t="s">
        <v>51</v>
      </c>
      <c r="C17" s="3">
        <v>84</v>
      </c>
      <c r="D17" s="3">
        <v>4956</v>
      </c>
    </row>
    <row r="18" spans="1:4" x14ac:dyDescent="0.25">
      <c r="A18" s="3" t="s">
        <v>26</v>
      </c>
      <c r="B18" s="3" t="s">
        <v>41</v>
      </c>
      <c r="C18" s="3">
        <v>91.5</v>
      </c>
      <c r="D18" s="3">
        <v>10536</v>
      </c>
    </row>
    <row r="19" spans="1:4" x14ac:dyDescent="0.25">
      <c r="A19" s="3" t="s">
        <v>26</v>
      </c>
      <c r="B19" s="3" t="s">
        <v>42</v>
      </c>
      <c r="C19" s="3">
        <v>73</v>
      </c>
      <c r="D19" s="3">
        <v>3285</v>
      </c>
    </row>
    <row r="20" spans="1:4" x14ac:dyDescent="0.25">
      <c r="A20" s="3" t="s">
        <v>28</v>
      </c>
      <c r="B20" s="3" t="s">
        <v>31</v>
      </c>
      <c r="C20" s="3">
        <v>72.5</v>
      </c>
      <c r="D20" s="3">
        <v>10606</v>
      </c>
    </row>
    <row r="21" spans="1:4" x14ac:dyDescent="0.25">
      <c r="A21" s="3" t="s">
        <v>28</v>
      </c>
      <c r="B21" s="3" t="s">
        <v>32</v>
      </c>
      <c r="C21" s="3">
        <v>82</v>
      </c>
      <c r="D21" s="3">
        <v>6314</v>
      </c>
    </row>
    <row r="22" spans="1:4" x14ac:dyDescent="0.25">
      <c r="A22" s="3" t="s">
        <v>28</v>
      </c>
      <c r="B22" s="3" t="s">
        <v>46</v>
      </c>
      <c r="C22" s="3">
        <v>72</v>
      </c>
      <c r="D22" s="3">
        <v>3456</v>
      </c>
    </row>
    <row r="23" spans="1:4" x14ac:dyDescent="0.25">
      <c r="A23" s="3" t="s">
        <v>28</v>
      </c>
      <c r="B23" s="3" t="s">
        <v>47</v>
      </c>
      <c r="C23" s="3">
        <v>84.5</v>
      </c>
      <c r="D23" s="3">
        <v>9698</v>
      </c>
    </row>
    <row r="24" spans="1:4" x14ac:dyDescent="0.25">
      <c r="A24" s="3" t="s">
        <v>28</v>
      </c>
      <c r="B24" s="3" t="s">
        <v>35</v>
      </c>
      <c r="C24" s="3">
        <v>88.5</v>
      </c>
      <c r="D24" s="3">
        <v>13423</v>
      </c>
    </row>
    <row r="25" spans="1:4" x14ac:dyDescent="0.25">
      <c r="A25" s="3" t="s">
        <v>28</v>
      </c>
      <c r="B25" s="3" t="s">
        <v>48</v>
      </c>
      <c r="C25" s="3">
        <v>89</v>
      </c>
      <c r="D25" s="3">
        <v>20434</v>
      </c>
    </row>
    <row r="26" spans="1:4" x14ac:dyDescent="0.25">
      <c r="A26" s="3" t="s">
        <v>28</v>
      </c>
      <c r="B26" s="3" t="s">
        <v>49</v>
      </c>
      <c r="C26" s="3">
        <v>84.33</v>
      </c>
      <c r="D26" s="3">
        <v>15972</v>
      </c>
    </row>
    <row r="27" spans="1:4" x14ac:dyDescent="0.25">
      <c r="A27" s="3" t="s">
        <v>28</v>
      </c>
      <c r="B27" s="3" t="s">
        <v>50</v>
      </c>
      <c r="C27" s="3">
        <v>80</v>
      </c>
      <c r="D27" s="3">
        <v>19431</v>
      </c>
    </row>
    <row r="28" spans="1:4" x14ac:dyDescent="0.25">
      <c r="A28" s="3" t="s">
        <v>28</v>
      </c>
      <c r="B28" s="3" t="s">
        <v>51</v>
      </c>
      <c r="C28" s="3">
        <v>75</v>
      </c>
      <c r="D28" s="3">
        <v>6000</v>
      </c>
    </row>
    <row r="29" spans="1:4" x14ac:dyDescent="0.25">
      <c r="A29" s="3" t="s">
        <v>28</v>
      </c>
      <c r="B29" s="3" t="s">
        <v>40</v>
      </c>
      <c r="C29" s="3">
        <v>81</v>
      </c>
      <c r="D29" s="3">
        <v>3483</v>
      </c>
    </row>
    <row r="30" spans="1:4" x14ac:dyDescent="0.25">
      <c r="A30" s="3" t="s">
        <v>28</v>
      </c>
      <c r="B30" s="3" t="s">
        <v>42</v>
      </c>
      <c r="C30" s="3">
        <v>79</v>
      </c>
      <c r="D30" s="3">
        <v>14424</v>
      </c>
    </row>
    <row r="31" spans="1:4" x14ac:dyDescent="0.25">
      <c r="A31" s="3" t="s">
        <v>27</v>
      </c>
      <c r="B31" s="3" t="s">
        <v>31</v>
      </c>
      <c r="C31" s="8">
        <v>88.67</v>
      </c>
      <c r="D31" s="3">
        <v>15463</v>
      </c>
    </row>
    <row r="32" spans="1:4" x14ac:dyDescent="0.25">
      <c r="A32" s="3" t="s">
        <v>27</v>
      </c>
      <c r="B32" s="3" t="s">
        <v>32</v>
      </c>
      <c r="C32" s="3">
        <v>81</v>
      </c>
      <c r="D32" s="3">
        <v>19084</v>
      </c>
    </row>
    <row r="33" spans="1:4" x14ac:dyDescent="0.25">
      <c r="A33" s="3" t="s">
        <v>27</v>
      </c>
      <c r="B33" s="3" t="s">
        <v>46</v>
      </c>
      <c r="C33" s="3">
        <v>77</v>
      </c>
      <c r="D33" s="3">
        <v>3773</v>
      </c>
    </row>
    <row r="34" spans="1:4" x14ac:dyDescent="0.25">
      <c r="A34" s="3" t="s">
        <v>27</v>
      </c>
      <c r="B34" s="3" t="s">
        <v>47</v>
      </c>
      <c r="C34" s="3">
        <v>82.5</v>
      </c>
      <c r="D34" s="3">
        <v>12139</v>
      </c>
    </row>
    <row r="35" spans="1:4" x14ac:dyDescent="0.25">
      <c r="A35" s="3" t="s">
        <v>27</v>
      </c>
      <c r="B35" s="3" t="s">
        <v>35</v>
      </c>
      <c r="C35" s="3">
        <v>81.66</v>
      </c>
      <c r="D35" s="3">
        <v>15620</v>
      </c>
    </row>
    <row r="36" spans="1:4" x14ac:dyDescent="0.25">
      <c r="A36" s="3" t="s">
        <v>27</v>
      </c>
      <c r="B36" s="3" t="s">
        <v>48</v>
      </c>
      <c r="C36" s="3">
        <v>84</v>
      </c>
      <c r="D36" s="3">
        <v>15740</v>
      </c>
    </row>
    <row r="37" spans="1:4" x14ac:dyDescent="0.25">
      <c r="A37" s="3" t="s">
        <v>27</v>
      </c>
      <c r="B37" s="3" t="s">
        <v>49</v>
      </c>
      <c r="C37" s="3">
        <v>88</v>
      </c>
      <c r="D37" s="3">
        <v>21271</v>
      </c>
    </row>
    <row r="38" spans="1:4" x14ac:dyDescent="0.25">
      <c r="A38" s="3" t="s">
        <v>27</v>
      </c>
      <c r="B38" s="3" t="s">
        <v>50</v>
      </c>
      <c r="C38" s="3">
        <v>83</v>
      </c>
      <c r="D38" s="3">
        <v>12360</v>
      </c>
    </row>
    <row r="39" spans="1:4" x14ac:dyDescent="0.25">
      <c r="A39" s="3" t="s">
        <v>27</v>
      </c>
      <c r="B39" s="3" t="s">
        <v>51</v>
      </c>
      <c r="C39" s="3">
        <v>82.75</v>
      </c>
      <c r="D39" s="3">
        <v>19963</v>
      </c>
    </row>
    <row r="40" spans="1:4" x14ac:dyDescent="0.25">
      <c r="A40" s="3" t="s">
        <v>27</v>
      </c>
      <c r="B40" s="3" t="s">
        <v>40</v>
      </c>
      <c r="C40" s="3">
        <v>83</v>
      </c>
      <c r="D40" s="3">
        <v>10658</v>
      </c>
    </row>
    <row r="41" spans="1:4" x14ac:dyDescent="0.25">
      <c r="A41" s="3" t="s">
        <v>27</v>
      </c>
      <c r="B41" s="3" t="s">
        <v>41</v>
      </c>
      <c r="C41" s="3">
        <v>81</v>
      </c>
      <c r="D41" s="3">
        <v>9107</v>
      </c>
    </row>
    <row r="42" spans="1:4" x14ac:dyDescent="0.25">
      <c r="A42" s="3" t="s">
        <v>27</v>
      </c>
      <c r="B42" s="3" t="s">
        <v>42</v>
      </c>
      <c r="C42" s="3">
        <v>92.5</v>
      </c>
      <c r="D42" s="3">
        <v>9992</v>
      </c>
    </row>
    <row r="43" spans="1:4" x14ac:dyDescent="0.25">
      <c r="A43" s="3" t="s">
        <v>29</v>
      </c>
      <c r="B43" s="3" t="s">
        <v>31</v>
      </c>
      <c r="C43" s="3">
        <v>86</v>
      </c>
      <c r="D43" s="3">
        <v>6020</v>
      </c>
    </row>
    <row r="44" spans="1:4" x14ac:dyDescent="0.25">
      <c r="A44" s="3" t="s">
        <v>29</v>
      </c>
      <c r="B44" s="3" t="s">
        <v>32</v>
      </c>
      <c r="C44" s="3">
        <v>88</v>
      </c>
      <c r="D44" s="3">
        <v>5104</v>
      </c>
    </row>
    <row r="45" spans="1:4" x14ac:dyDescent="0.25">
      <c r="A45" s="3" t="s">
        <v>29</v>
      </c>
      <c r="B45" s="3" t="s">
        <v>46</v>
      </c>
      <c r="C45" s="3">
        <v>98</v>
      </c>
      <c r="D45" s="3">
        <v>6664</v>
      </c>
    </row>
    <row r="46" spans="1:4" x14ac:dyDescent="0.25">
      <c r="A46" s="3" t="s">
        <v>29</v>
      </c>
      <c r="B46" s="3" t="s">
        <v>47</v>
      </c>
      <c r="C46" s="3">
        <v>78.33</v>
      </c>
      <c r="D46" s="3">
        <v>13137</v>
      </c>
    </row>
    <row r="47" spans="1:4" x14ac:dyDescent="0.25">
      <c r="A47" s="3" t="s">
        <v>29</v>
      </c>
      <c r="B47" s="3" t="s">
        <v>35</v>
      </c>
      <c r="C47" s="3">
        <v>88.5</v>
      </c>
      <c r="D47" s="3">
        <v>24727</v>
      </c>
    </row>
    <row r="48" spans="1:4" x14ac:dyDescent="0.25">
      <c r="A48" s="3" t="s">
        <v>29</v>
      </c>
      <c r="B48" s="3" t="s">
        <v>48</v>
      </c>
      <c r="C48" s="3">
        <v>92</v>
      </c>
      <c r="D48" s="3">
        <v>8933</v>
      </c>
    </row>
    <row r="49" spans="1:4" x14ac:dyDescent="0.25">
      <c r="A49" s="3" t="s">
        <v>29</v>
      </c>
      <c r="B49" s="3" t="s">
        <v>49</v>
      </c>
      <c r="C49" s="3">
        <v>83</v>
      </c>
      <c r="D49" s="3">
        <v>16935</v>
      </c>
    </row>
    <row r="50" spans="1:4" x14ac:dyDescent="0.25">
      <c r="A50" s="3" t="s">
        <v>29</v>
      </c>
      <c r="B50" s="3" t="s">
        <v>50</v>
      </c>
      <c r="C50" s="3">
        <v>91.5</v>
      </c>
      <c r="D50" s="3">
        <v>9468</v>
      </c>
    </row>
    <row r="51" spans="1:4" x14ac:dyDescent="0.25">
      <c r="A51" s="3" t="s">
        <v>29</v>
      </c>
      <c r="B51" s="3" t="s">
        <v>51</v>
      </c>
      <c r="C51" s="3">
        <v>82.66</v>
      </c>
      <c r="D51" s="3">
        <v>17248</v>
      </c>
    </row>
    <row r="52" spans="1:4" x14ac:dyDescent="0.25">
      <c r="A52" s="3" t="s">
        <v>29</v>
      </c>
      <c r="B52" s="3" t="s">
        <v>40</v>
      </c>
      <c r="C52" s="3">
        <v>79.5</v>
      </c>
      <c r="D52" s="3">
        <v>8566</v>
      </c>
    </row>
    <row r="53" spans="1:4" x14ac:dyDescent="0.25">
      <c r="A53" s="3" t="s">
        <v>29</v>
      </c>
      <c r="B53" s="3" t="s">
        <v>41</v>
      </c>
      <c r="C53" s="3">
        <v>91.66</v>
      </c>
      <c r="D53" s="3">
        <v>13948</v>
      </c>
    </row>
    <row r="54" spans="1:4" x14ac:dyDescent="0.25">
      <c r="A54" s="3" t="s">
        <v>29</v>
      </c>
      <c r="B54" s="3" t="s">
        <v>42</v>
      </c>
      <c r="C54" s="3">
        <v>76.5</v>
      </c>
      <c r="D54" s="3">
        <v>9327</v>
      </c>
    </row>
  </sheetData>
  <sortState xmlns:xlrd2="http://schemas.microsoft.com/office/spreadsheetml/2017/richdata2" ref="A2:D54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Performance Data</vt:lpstr>
      <vt:lpstr>January</vt:lpstr>
      <vt:lpstr>Febuary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Annual Performance</vt:lpstr>
      <vt:lpstr>Annual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Mohammad Farhan</cp:lastModifiedBy>
  <dcterms:created xsi:type="dcterms:W3CDTF">2025-09-08T12:48:18Z</dcterms:created>
  <dcterms:modified xsi:type="dcterms:W3CDTF">2025-10-08T10:15:22Z</dcterms:modified>
</cp:coreProperties>
</file>